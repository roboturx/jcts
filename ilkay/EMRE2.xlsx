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9FF20B62-0C54-4072-ABBB-9BFC6A21855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KLİF 2022" sheetId="1" r:id="rId1"/>
    <sheet name="Sayf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2" l="1"/>
  <c r="G18" i="2"/>
  <c r="J54" i="2"/>
  <c r="J53" i="2"/>
  <c r="J52" i="2"/>
  <c r="J51" i="2"/>
  <c r="J50" i="2"/>
  <c r="J49" i="2"/>
  <c r="J48" i="2"/>
  <c r="J47" i="2"/>
  <c r="J46" i="2"/>
  <c r="J44" i="2"/>
  <c r="J43" i="2"/>
  <c r="J42" i="2"/>
  <c r="J41" i="2"/>
  <c r="J40" i="2"/>
  <c r="J39" i="2"/>
  <c r="J38" i="2"/>
  <c r="J36" i="2"/>
  <c r="J35" i="2"/>
  <c r="J34" i="2"/>
  <c r="J33" i="2"/>
  <c r="J32" i="2"/>
  <c r="J55" i="2" s="1"/>
  <c r="J31" i="2"/>
  <c r="J30" i="2"/>
  <c r="J29" i="2"/>
  <c r="J28" i="2"/>
  <c r="J27" i="2"/>
  <c r="J26" i="2"/>
  <c r="J25" i="2"/>
  <c r="F49" i="1"/>
  <c r="F40" i="1"/>
  <c r="F41" i="1"/>
  <c r="F42" i="1"/>
  <c r="F43" i="1"/>
  <c r="F44" i="1"/>
  <c r="F45" i="1"/>
  <c r="F46" i="1"/>
  <c r="F47" i="1"/>
  <c r="F48" i="1"/>
  <c r="F19" i="1"/>
  <c r="F20" i="1"/>
  <c r="F21" i="1"/>
  <c r="F22" i="1"/>
  <c r="F23" i="1"/>
  <c r="F24" i="1"/>
  <c r="F25" i="1"/>
  <c r="F26" i="1"/>
  <c r="F27" i="1"/>
  <c r="F28" i="1"/>
  <c r="F29" i="1"/>
  <c r="F30" i="1"/>
  <c r="F32" i="1"/>
  <c r="F33" i="1"/>
  <c r="F34" i="1"/>
  <c r="F35" i="1"/>
  <c r="F36" i="1"/>
  <c r="F37" i="1"/>
  <c r="F38" i="1"/>
</calcChain>
</file>

<file path=xl/sharedStrings.xml><?xml version="1.0" encoding="utf-8"?>
<sst xmlns="http://schemas.openxmlformats.org/spreadsheetml/2006/main" count="148" uniqueCount="65">
  <si>
    <t>NOT:</t>
  </si>
  <si>
    <t>SÖZLEŞME ŞARTLARI</t>
  </si>
  <si>
    <t>ALICI ONAYI</t>
  </si>
  <si>
    <t>KAŞE, ÜNVAN, İMZA, TARİH</t>
  </si>
  <si>
    <t>S.NO</t>
  </si>
  <si>
    <t>MİKTARI</t>
  </si>
  <si>
    <t>BİRİMİ</t>
  </si>
  <si>
    <t xml:space="preserve">TOPLAM </t>
  </si>
  <si>
    <t>FİRMA:</t>
  </si>
  <si>
    <t>YETKİLİ:</t>
  </si>
  <si>
    <t>KONU:</t>
  </si>
  <si>
    <t>TEKLİF NO:</t>
  </si>
  <si>
    <t>TARİH:</t>
  </si>
  <si>
    <t>6-SEVKİYAT İLETİŞİM:</t>
  </si>
  <si>
    <t>5-BANKA BİLGİLERİ:</t>
  </si>
  <si>
    <t>4-NAKLİYE:</t>
  </si>
  <si>
    <t>3-TESLİM YERİ:</t>
  </si>
  <si>
    <t>1-OPSİYON:</t>
  </si>
  <si>
    <t>2-ÖDEME ŞEKLİ:</t>
  </si>
  <si>
    <t xml:space="preserve">KDV HARİÇTİR                                                                                                         </t>
  </si>
  <si>
    <t>M2</t>
  </si>
  <si>
    <t>BİRİM FİYTI</t>
  </si>
  <si>
    <t>TOPLAM FİYAT</t>
  </si>
  <si>
    <t>..</t>
  </si>
  <si>
    <t>NOT</t>
  </si>
  <si>
    <t xml:space="preserve">M2 </t>
  </si>
  <si>
    <t>BASAMAK  3X30X125 70 ADET</t>
  </si>
  <si>
    <t>BASAMAK  3X30140 5 ADET</t>
  </si>
  <si>
    <t>BASMAK     3X80X155 10ADET</t>
  </si>
  <si>
    <t>BASMAK    3X80X175 7 ADET</t>
  </si>
  <si>
    <t>RIHT 2X14X125 38 ADET</t>
  </si>
  <si>
    <t>RIHT  2X12X125 12 ADET</t>
  </si>
  <si>
    <t xml:space="preserve">RIHT 2X15X125   15 ADET </t>
  </si>
  <si>
    <t>RUH</t>
  </si>
  <si>
    <t xml:space="preserve">RIHT 2X12X140  5 ADET </t>
  </si>
  <si>
    <t xml:space="preserve">RIHT 2X15X155  14 ADET </t>
  </si>
  <si>
    <t>RIHT 2X14X175  7 ADET</t>
  </si>
  <si>
    <t>DENİZLİK 2X12X142  20 ADET</t>
  </si>
  <si>
    <t xml:space="preserve">DENİZLİK 2X12X122   15 ADET </t>
  </si>
  <si>
    <t xml:space="preserve">DENİZLİK 2X12X52    5 ADET </t>
  </si>
  <si>
    <t>0.31</t>
  </si>
  <si>
    <t>DENİZLİK 2X18X14      20 ADET</t>
  </si>
  <si>
    <t>DENİZLİK 2X18X122    15 ADET</t>
  </si>
  <si>
    <t xml:space="preserve">DENİZLİK 2X18X52     5 ADET </t>
  </si>
  <si>
    <t>MT</t>
  </si>
  <si>
    <t xml:space="preserve">SÜPÜRGELİK </t>
  </si>
  <si>
    <t>DÖŞEME 2X3Z SB</t>
  </si>
  <si>
    <t>BALKON</t>
  </si>
  <si>
    <t>EŞİK 28</t>
  </si>
  <si>
    <t>ADET</t>
  </si>
  <si>
    <t>1-</t>
  </si>
  <si>
    <t>Sıra No</t>
  </si>
  <si>
    <t>Malzeme Cinsi</t>
  </si>
  <si>
    <t>Birim Fiyat</t>
  </si>
  <si>
    <t>Tutar</t>
  </si>
  <si>
    <t>Mermer Basamak</t>
  </si>
  <si>
    <t>Sütun1</t>
  </si>
  <si>
    <t>Sütun2</t>
  </si>
  <si>
    <t>Sütun3</t>
  </si>
  <si>
    <t>Klnlk</t>
  </si>
  <si>
    <t xml:space="preserve">En </t>
  </si>
  <si>
    <t>Boy</t>
  </si>
  <si>
    <t>Sütun4</t>
  </si>
  <si>
    <t>m2</t>
  </si>
  <si>
    <t>adet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</si>
</sst>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43" formatCode="_-* #,##0.00_-;\-* #,##0.00_-;_-* &quot;-&quot;??_-;_-@_-"/>
    <numFmt numFmtId="164" formatCode="_-[$₺-41F]* #,##0.00_-;\-[$₺-41F]* #,##0.00_-;_-[$₺-41F]* &quot;-&quot;??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20"/>
      <color theme="1"/>
      <name val="Calibri"/>
      <family val="2"/>
      <charset val="16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26"/>
      <color rgb="FFFF0000"/>
      <name val="Calibri"/>
      <family val="2"/>
      <charset val="162"/>
      <scheme val="minor"/>
    </font>
    <font>
      <sz val="26"/>
      <color theme="1"/>
      <name val="Calibri"/>
      <family val="2"/>
      <charset val="162"/>
      <scheme val="minor"/>
    </font>
    <font>
      <b/>
      <sz val="10"/>
      <name val="Arial Tur"/>
      <charset val="162"/>
    </font>
    <font>
      <sz val="10"/>
      <color indexed="9"/>
      <name val="Arial Tur"/>
      <charset val="162"/>
    </font>
    <font>
      <sz val="22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2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7" fillId="2" borderId="1" xfId="0" applyFont="1" applyFill="1" applyBorder="1"/>
    <xf numFmtId="0" fontId="8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14" fontId="1" fillId="0" borderId="0" xfId="0" applyNumberFormat="1" applyFont="1" applyAlignment="1">
      <alignment horizontal="left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64" fontId="6" fillId="2" borderId="0" xfId="0" applyNumberFormat="1" applyFont="1" applyFill="1" applyAlignment="1">
      <alignment horizontal="right"/>
    </xf>
    <xf numFmtId="0" fontId="1" fillId="2" borderId="1" xfId="0" applyFont="1" applyFill="1" applyBorder="1" applyAlignment="1">
      <alignment wrapText="1"/>
    </xf>
    <xf numFmtId="0" fontId="11" fillId="3" borderId="1" xfId="0" applyFont="1" applyFill="1" applyBorder="1" applyAlignment="1">
      <alignment vertical="top"/>
    </xf>
    <xf numFmtId="164" fontId="1" fillId="2" borderId="1" xfId="1" applyNumberFormat="1" applyFont="1" applyFill="1" applyBorder="1"/>
    <xf numFmtId="164" fontId="6" fillId="2" borderId="1" xfId="1" applyNumberFormat="1" applyFont="1" applyFill="1" applyBorder="1" applyAlignment="1">
      <alignment horizontal="left"/>
    </xf>
    <xf numFmtId="164" fontId="6" fillId="2" borderId="1" xfId="1" applyNumberFormat="1" applyFont="1" applyFill="1" applyBorder="1" applyAlignment="1">
      <alignment horizontal="right"/>
    </xf>
    <xf numFmtId="0" fontId="11" fillId="3" borderId="0" xfId="0" applyFont="1" applyFill="1" applyAlignment="1">
      <alignment horizontal="left"/>
    </xf>
    <xf numFmtId="0" fontId="0" fillId="0" borderId="0" xfId="0" applyAlignment="1">
      <alignment horizontal="center" vertical="center" wrapText="1"/>
    </xf>
    <xf numFmtId="0" fontId="6" fillId="2" borderId="2" xfId="0" applyFont="1" applyFill="1" applyBorder="1" applyAlignment="1">
      <alignment horizontal="center"/>
    </xf>
    <xf numFmtId="164" fontId="1" fillId="2" borderId="3" xfId="1" applyNumberFormat="1" applyFont="1" applyFill="1" applyBorder="1"/>
    <xf numFmtId="0" fontId="6" fillId="2" borderId="4" xfId="0" applyFont="1" applyFill="1" applyBorder="1"/>
    <xf numFmtId="0" fontId="6" fillId="2" borderId="5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6" fillId="2" borderId="6" xfId="0" applyFont="1" applyFill="1" applyBorder="1" applyAlignment="1">
      <alignment horizontal="right"/>
    </xf>
    <xf numFmtId="0" fontId="1" fillId="2" borderId="7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6" fillId="2" borderId="8" xfId="0" applyFont="1" applyFill="1" applyBorder="1" applyAlignment="1">
      <alignment horizontal="center"/>
    </xf>
    <xf numFmtId="164" fontId="1" fillId="2" borderId="7" xfId="1" applyNumberFormat="1" applyFont="1" applyFill="1" applyBorder="1"/>
    <xf numFmtId="164" fontId="1" fillId="2" borderId="9" xfId="1" applyNumberFormat="1" applyFont="1" applyFill="1" applyBorder="1"/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4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wrapText="1"/>
    </xf>
    <xf numFmtId="43" fontId="14" fillId="0" borderId="0" xfId="2" applyFont="1" applyFill="1" applyAlignment="1">
      <alignment horizontal="left"/>
    </xf>
    <xf numFmtId="43" fontId="0" fillId="0" borderId="0" xfId="2" applyFont="1"/>
    <xf numFmtId="43" fontId="0" fillId="0" borderId="0" xfId="2" applyFont="1" applyAlignment="1">
      <alignment horizontal="center" vertical="center"/>
    </xf>
  </cellXfs>
  <cellStyles count="3">
    <cellStyle name="Normal" xfId="0" builtinId="0"/>
    <cellStyle name="ParaBirimi" xfId="1" builtinId="4"/>
    <cellStyle name="Virgül" xfId="2" builtinId="3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[$₺-41F]* #,##0.00_-;\-[$₺-41F]* #,##0.00_-;_-[$₺-41F]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[$₺-41F]* #,##0.00_-;\-[$₺-41F]* #,##0.00_-;_-[$₺-41F]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Tur"/>
        <charset val="16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Tur"/>
        <charset val="16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[$₺-41F]* #,##0.00_-;\-[$₺-41F]* #,##0.00_-;_-[$₺-41F]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[$₺-41F]* #,##0.00_-;\-[$₺-41F]* #,##0.00_-;_-[$₺-41F]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Tur"/>
        <charset val="16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Tur"/>
        <charset val="16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1371599</xdr:colOff>
      <xdr:row>0</xdr:row>
      <xdr:rowOff>0</xdr:rowOff>
    </xdr:from>
    <xdr:to>
      <xdr:col>1</xdr:col>
      <xdr:colOff>3003176</xdr:colOff>
      <xdr:row>10</xdr:row>
      <xdr:rowOff>44634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7E811101-3841-4ECD-ACA8-531241B6E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599" y="0"/>
          <a:ext cx="3060327" cy="24918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1371599</xdr:colOff>
      <xdr:row>0</xdr:row>
      <xdr:rowOff>0</xdr:rowOff>
    </xdr:from>
    <xdr:to>
      <xdr:col>3</xdr:col>
      <xdr:colOff>387373</xdr:colOff>
      <xdr:row>13</xdr:row>
      <xdr:rowOff>16059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187123D9-9287-4437-A2BB-292E6ADA4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599" y="0"/>
          <a:ext cx="3060327" cy="249255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6B2CAE-0C05-487A-B422-0B9D25FB2C7C}" name="Tablo1" displayName="Tablo1" ref="A18:F48" totalsRowShown="0" headerRowDxfId="25" headerRowBorderDxfId="24" tableBorderDxfId="23" totalsRowBorderDxfId="22">
  <autoFilter ref="A18:F48" xr:uid="{7D6B2CAE-0C05-487A-B422-0B9D25FB2C7C}"/>
  <tableColumns count="6">
    <tableColumn id="1" xr3:uid="{416D0EFE-1533-40C3-92A6-E7595C276B80}" name="S.NO" dataDxfId="21"/>
    <tableColumn id="2" xr3:uid="{94ACC601-00BB-4A36-A69C-AE22E334AE9F}" name="RUH" dataDxfId="20"/>
    <tableColumn id="3" xr3:uid="{A5C6EB5B-39BC-46A2-A5E8-B260BE9F79D0}" name="MİKTARI" dataDxfId="19"/>
    <tableColumn id="4" xr3:uid="{120BCE3B-492C-4BCA-8E77-277AF7532100}" name="BİRİMİ" dataDxfId="18"/>
    <tableColumn id="5" xr3:uid="{F2172A33-A2FA-4E59-8DE9-E9D477F6BA56}" name="BİRİM FİYTI" dataDxfId="17" dataCellStyle="ParaBirimi"/>
    <tableColumn id="6" xr3:uid="{C9F3AA3D-7803-48A8-83F2-395C4E40C2A2}" name="TOPLAM FİYAT" dataDxfId="16" dataCellStyle="ParaBirimi">
      <calculatedColumnFormula>Tablo1[[#This Row],[MİKTARI]]*Tablo1[[#This Row],[BİRİM FİYTI]]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776EE0-1A21-46A7-A94F-21DF0399F120}" name="Tablo13" displayName="Tablo13" ref="A24:J54" totalsRowShown="0" headerRowDxfId="15" headerRowBorderDxfId="13" tableBorderDxfId="14" totalsRowBorderDxfId="12">
  <autoFilter ref="A24:J54" xr:uid="{02776EE0-1A21-46A7-A94F-21DF0399F120}"/>
  <tableColumns count="10">
    <tableColumn id="1" xr3:uid="{C8A87359-F167-4496-ACFF-DCD63337FBFF}" name="S.NO" dataDxfId="11"/>
    <tableColumn id="2" xr3:uid="{66B86BD8-8239-46AD-81C5-9530B032676B}" name="RUH" dataDxfId="10"/>
    <tableColumn id="7" xr3:uid="{A4291BB9-6A13-4DEA-AF24-0BCC98D553BB}" name="Sütun1" dataDxfId="5"/>
    <tableColumn id="8" xr3:uid="{93C471E4-04F4-4D13-A657-74981C430222}" name="Sütun2" dataDxfId="4"/>
    <tableColumn id="9" xr3:uid="{CB665A4E-908A-46EB-9AFB-0436E2A02898}" name="Sütun3" dataDxfId="3"/>
    <tableColumn id="10" xr3:uid="{93793DB3-B400-48D5-A245-011A937398E7}" name="Sütun4" dataDxfId="2"/>
    <tableColumn id="3" xr3:uid="{94A57089-FB04-4AB3-B495-6A9F048802A8}" name="MİKTARI" dataDxfId="9"/>
    <tableColumn id="4" xr3:uid="{36F52937-B8E2-48A6-9D21-59D2C3F66250}" name="BİRİMİ" dataDxfId="8"/>
    <tableColumn id="5" xr3:uid="{9CA6FAF5-AE6F-47F9-AAA6-12C6E7820BE1}" name="BİRİM FİYTI" dataDxfId="7" dataCellStyle="ParaBirimi"/>
    <tableColumn id="6" xr3:uid="{3304FB08-344F-40A8-9745-31FC14ECA53B}" name="TOPLAM FİYAT" dataDxfId="6" dataCellStyle="ParaBirimi">
      <calculatedColumnFormula>Tablo13[[#This Row],[MİKTARI]]*Tablo13[[#This Row],[BİRİM FİYTI]]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"/>
  <sheetViews>
    <sheetView zoomScaleNormal="100" zoomScalePageLayoutView="115" workbookViewId="0">
      <selection activeCell="B89" sqref="A1:XFD1048576"/>
    </sheetView>
  </sheetViews>
  <sheetFormatPr defaultRowHeight="15" x14ac:dyDescent="0.25"/>
  <cols>
    <col min="1" max="1" width="21.42578125" customWidth="1"/>
    <col min="2" max="2" width="65.7109375" bestFit="1" customWidth="1"/>
    <col min="3" max="3" width="23.7109375" bestFit="1" customWidth="1"/>
    <col min="4" max="4" width="13.140625" customWidth="1"/>
    <col min="5" max="5" width="19" customWidth="1"/>
    <col min="6" max="6" width="16.5703125" customWidth="1"/>
  </cols>
  <sheetData>
    <row r="1" spans="1:7" x14ac:dyDescent="0.25">
      <c r="A1" s="40"/>
      <c r="B1" s="40"/>
    </row>
    <row r="2" spans="1:7" x14ac:dyDescent="0.25">
      <c r="A2" s="40"/>
      <c r="B2" s="40"/>
    </row>
    <row r="3" spans="1:7" x14ac:dyDescent="0.25">
      <c r="A3" s="40"/>
      <c r="B3" s="40"/>
    </row>
    <row r="4" spans="1:7" x14ac:dyDescent="0.25">
      <c r="A4" s="40"/>
      <c r="B4" s="40"/>
    </row>
    <row r="5" spans="1:7" x14ac:dyDescent="0.25">
      <c r="A5" s="40"/>
      <c r="B5" s="40"/>
    </row>
    <row r="6" spans="1:7" x14ac:dyDescent="0.25">
      <c r="A6" s="40"/>
      <c r="B6" s="40"/>
    </row>
    <row r="7" spans="1:7" x14ac:dyDescent="0.25">
      <c r="A7" s="40"/>
      <c r="B7" s="40"/>
    </row>
    <row r="8" spans="1:7" x14ac:dyDescent="0.25">
      <c r="A8" s="40"/>
      <c r="B8" s="40"/>
    </row>
    <row r="9" spans="1:7" ht="49.9" customHeight="1" x14ac:dyDescent="0.25">
      <c r="A9" s="40"/>
      <c r="B9" s="40"/>
    </row>
    <row r="10" spans="1:7" ht="23.25" x14ac:dyDescent="0.25">
      <c r="A10" s="25"/>
      <c r="B10" s="25"/>
      <c r="C10" s="25"/>
      <c r="D10" s="41"/>
      <c r="E10" s="41"/>
      <c r="F10" s="41"/>
      <c r="G10" s="25"/>
    </row>
    <row r="11" spans="1:7" x14ac:dyDescent="0.25">
      <c r="A11" s="2" t="s">
        <v>8</v>
      </c>
      <c r="B11" s="4"/>
      <c r="C11" s="5"/>
    </row>
    <row r="12" spans="1:7" x14ac:dyDescent="0.25">
      <c r="A12" s="2" t="s">
        <v>9</v>
      </c>
      <c r="B12" s="4"/>
      <c r="C12" s="4"/>
    </row>
    <row r="13" spans="1:7" x14ac:dyDescent="0.25">
      <c r="A13" s="2" t="s">
        <v>10</v>
      </c>
      <c r="B13" s="14"/>
      <c r="E13" s="6"/>
      <c r="F13" s="6"/>
    </row>
    <row r="14" spans="1:7" x14ac:dyDescent="0.25">
      <c r="A14" s="2" t="s">
        <v>11</v>
      </c>
      <c r="B14" s="4"/>
      <c r="E14" s="6"/>
      <c r="F14" s="6"/>
    </row>
    <row r="15" spans="1:7" ht="14.45" customHeight="1" x14ac:dyDescent="0.25">
      <c r="A15" s="2" t="s">
        <v>12</v>
      </c>
      <c r="B15" s="15"/>
      <c r="E15" s="6"/>
      <c r="F15" s="6"/>
    </row>
    <row r="16" spans="1:7" ht="14.45" customHeight="1" x14ac:dyDescent="0.25">
      <c r="A16" s="2"/>
      <c r="B16" s="15"/>
      <c r="E16" s="6"/>
      <c r="F16" s="6"/>
    </row>
    <row r="17" spans="1:6" x14ac:dyDescent="0.25">
      <c r="B17" s="24"/>
      <c r="E17" s="6"/>
      <c r="F17" s="6"/>
    </row>
    <row r="18" spans="1:6" x14ac:dyDescent="0.25">
      <c r="A18" s="28" t="s">
        <v>4</v>
      </c>
      <c r="B18" s="29" t="s">
        <v>33</v>
      </c>
      <c r="C18" s="29" t="s">
        <v>5</v>
      </c>
      <c r="D18" s="29" t="s">
        <v>6</v>
      </c>
      <c r="E18" s="30" t="s">
        <v>21</v>
      </c>
      <c r="F18" s="31" t="s">
        <v>22</v>
      </c>
    </row>
    <row r="19" spans="1:6" x14ac:dyDescent="0.25">
      <c r="A19" s="26" t="s">
        <v>50</v>
      </c>
      <c r="B19" s="19" t="s">
        <v>26</v>
      </c>
      <c r="C19" s="34">
        <v>26.25</v>
      </c>
      <c r="D19" s="17" t="s">
        <v>25</v>
      </c>
      <c r="E19" s="21">
        <v>875</v>
      </c>
      <c r="F19" s="27">
        <f>Tablo1[[#This Row],[MİKTARI]]*Tablo1[[#This Row],[BİRİM FİYTI]]</f>
        <v>22968.75</v>
      </c>
    </row>
    <row r="20" spans="1:6" x14ac:dyDescent="0.25">
      <c r="A20" s="26">
        <v>2</v>
      </c>
      <c r="B20" s="19" t="s">
        <v>27</v>
      </c>
      <c r="C20" s="17">
        <v>2.1</v>
      </c>
      <c r="D20" s="17" t="s">
        <v>20</v>
      </c>
      <c r="E20" s="21">
        <v>875</v>
      </c>
      <c r="F20" s="27">
        <f>Tablo1[[#This Row],[MİKTARI]]*Tablo1[[#This Row],[BİRİM FİYTI]]</f>
        <v>1837.5</v>
      </c>
    </row>
    <row r="21" spans="1:6" x14ac:dyDescent="0.25">
      <c r="A21" s="26">
        <v>3</v>
      </c>
      <c r="B21" s="19" t="s">
        <v>28</v>
      </c>
      <c r="C21" s="17">
        <v>12.4</v>
      </c>
      <c r="D21" s="17" t="s">
        <v>20</v>
      </c>
      <c r="E21" s="21">
        <v>2500</v>
      </c>
      <c r="F21" s="27">
        <f>Tablo1[[#This Row],[MİKTARI]]*Tablo1[[#This Row],[BİRİM FİYTI]]</f>
        <v>31000</v>
      </c>
    </row>
    <row r="22" spans="1:6" x14ac:dyDescent="0.25">
      <c r="A22" s="26">
        <v>4</v>
      </c>
      <c r="B22" s="19" t="s">
        <v>29</v>
      </c>
      <c r="C22" s="17">
        <v>9.8000000000000007</v>
      </c>
      <c r="D22" s="17" t="s">
        <v>20</v>
      </c>
      <c r="E22" s="21">
        <v>2500</v>
      </c>
      <c r="F22" s="27">
        <f>Tablo1[[#This Row],[MİKTARI]]*Tablo1[[#This Row],[BİRİM FİYTI]]</f>
        <v>24500</v>
      </c>
    </row>
    <row r="23" spans="1:6" x14ac:dyDescent="0.25">
      <c r="A23" s="26">
        <v>5</v>
      </c>
      <c r="B23" s="19" t="s">
        <v>30</v>
      </c>
      <c r="C23" s="17">
        <v>6.65</v>
      </c>
      <c r="D23" s="17" t="s">
        <v>20</v>
      </c>
      <c r="E23" s="21">
        <v>2500</v>
      </c>
      <c r="F23" s="27">
        <f>Tablo1[[#This Row],[MİKTARI]]*Tablo1[[#This Row],[BİRİM FİYTI]]</f>
        <v>16625</v>
      </c>
    </row>
    <row r="24" spans="1:6" x14ac:dyDescent="0.25">
      <c r="A24" s="26">
        <v>6</v>
      </c>
      <c r="B24" s="19" t="s">
        <v>31</v>
      </c>
      <c r="C24" s="17">
        <v>1.8</v>
      </c>
      <c r="D24" s="17" t="s">
        <v>20</v>
      </c>
      <c r="E24" s="21">
        <v>700</v>
      </c>
      <c r="F24" s="27">
        <f>Tablo1[[#This Row],[MİKTARI]]*Tablo1[[#This Row],[BİRİM FİYTI]]</f>
        <v>1260</v>
      </c>
    </row>
    <row r="25" spans="1:6" x14ac:dyDescent="0.25">
      <c r="A25" s="26">
        <v>7</v>
      </c>
      <c r="B25" s="19" t="s">
        <v>32</v>
      </c>
      <c r="C25" s="17">
        <v>2.8</v>
      </c>
      <c r="D25" s="17" t="s">
        <v>20</v>
      </c>
      <c r="E25" s="21">
        <v>700</v>
      </c>
      <c r="F25" s="27">
        <f>Tablo1[[#This Row],[MİKTARI]]*Tablo1[[#This Row],[BİRİM FİYTI]]</f>
        <v>1959.9999999999998</v>
      </c>
    </row>
    <row r="26" spans="1:6" x14ac:dyDescent="0.25">
      <c r="A26" s="26">
        <v>8</v>
      </c>
      <c r="B26" s="19" t="s">
        <v>34</v>
      </c>
      <c r="C26" s="17">
        <v>0.84</v>
      </c>
      <c r="D26" s="17" t="s">
        <v>20</v>
      </c>
      <c r="E26" s="21">
        <v>700</v>
      </c>
      <c r="F26" s="27">
        <f>Tablo1[[#This Row],[MİKTARI]]*Tablo1[[#This Row],[BİRİM FİYTI]]</f>
        <v>588</v>
      </c>
    </row>
    <row r="27" spans="1:6" x14ac:dyDescent="0.25">
      <c r="A27" s="26">
        <v>9</v>
      </c>
      <c r="B27" s="19" t="s">
        <v>35</v>
      </c>
      <c r="C27" s="17">
        <v>3.25</v>
      </c>
      <c r="D27" s="17" t="s">
        <v>20</v>
      </c>
      <c r="E27" s="21">
        <v>700</v>
      </c>
      <c r="F27" s="27">
        <f>Tablo1[[#This Row],[MİKTARI]]*Tablo1[[#This Row],[BİRİM FİYTI]]</f>
        <v>2275</v>
      </c>
    </row>
    <row r="28" spans="1:6" x14ac:dyDescent="0.25">
      <c r="A28" s="26">
        <v>10</v>
      </c>
      <c r="B28" s="19" t="s">
        <v>36</v>
      </c>
      <c r="C28" s="17">
        <v>1.71</v>
      </c>
      <c r="D28" s="17" t="s">
        <v>20</v>
      </c>
      <c r="E28" s="21">
        <v>750</v>
      </c>
      <c r="F28" s="27">
        <f>Tablo1[[#This Row],[MİKTARI]]*Tablo1[[#This Row],[BİRİM FİYTI]]</f>
        <v>1282.5</v>
      </c>
    </row>
    <row r="29" spans="1:6" x14ac:dyDescent="0.25">
      <c r="A29" s="26">
        <v>11</v>
      </c>
      <c r="B29" s="19" t="s">
        <v>37</v>
      </c>
      <c r="C29" s="17">
        <v>3.4</v>
      </c>
      <c r="D29" s="17" t="s">
        <v>44</v>
      </c>
      <c r="E29" s="21">
        <v>325</v>
      </c>
      <c r="F29" s="27">
        <f>Tablo1[[#This Row],[MİKTARI]]*Tablo1[[#This Row],[BİRİM FİYTI]]</f>
        <v>1105</v>
      </c>
    </row>
    <row r="30" spans="1:6" x14ac:dyDescent="0.25">
      <c r="A30" s="26">
        <v>12</v>
      </c>
      <c r="B30" s="19" t="s">
        <v>38</v>
      </c>
      <c r="C30" s="17">
        <v>2.1</v>
      </c>
      <c r="D30" s="17" t="s">
        <v>44</v>
      </c>
      <c r="E30" s="21">
        <v>325</v>
      </c>
      <c r="F30" s="27">
        <f>Tablo1[[#This Row],[MİKTARI]]*Tablo1[[#This Row],[BİRİM FİYTI]]</f>
        <v>682.5</v>
      </c>
    </row>
    <row r="31" spans="1:6" x14ac:dyDescent="0.25">
      <c r="A31" s="26">
        <v>13</v>
      </c>
      <c r="B31" s="19" t="s">
        <v>39</v>
      </c>
      <c r="C31" s="17" t="s">
        <v>40</v>
      </c>
      <c r="D31" s="17" t="s">
        <v>44</v>
      </c>
      <c r="E31" s="21">
        <v>325</v>
      </c>
      <c r="F31" s="27">
        <v>682.5</v>
      </c>
    </row>
    <row r="32" spans="1:6" x14ac:dyDescent="0.25">
      <c r="A32" s="26">
        <v>14</v>
      </c>
      <c r="B32" s="19" t="s">
        <v>41</v>
      </c>
      <c r="C32" s="17">
        <v>5</v>
      </c>
      <c r="D32" s="17" t="s">
        <v>44</v>
      </c>
      <c r="E32" s="21">
        <v>325</v>
      </c>
      <c r="F32" s="27">
        <f>Tablo1[[#This Row],[MİKTARI]]*Tablo1[[#This Row],[BİRİM FİYTI]]</f>
        <v>1625</v>
      </c>
    </row>
    <row r="33" spans="1:6" x14ac:dyDescent="0.25">
      <c r="A33" s="26">
        <v>15</v>
      </c>
      <c r="B33" s="32" t="s">
        <v>42</v>
      </c>
      <c r="C33" s="33">
        <v>3.2</v>
      </c>
      <c r="D33" s="33" t="s">
        <v>44</v>
      </c>
      <c r="E33" s="21">
        <v>325</v>
      </c>
      <c r="F33" s="27">
        <f>Tablo1[[#This Row],[MİKTARI]]*Tablo1[[#This Row],[BİRİM FİYTI]]</f>
        <v>1040</v>
      </c>
    </row>
    <row r="34" spans="1:6" x14ac:dyDescent="0.25">
      <c r="A34" s="36">
        <v>16</v>
      </c>
      <c r="B34" s="32" t="s">
        <v>43</v>
      </c>
      <c r="C34" s="33">
        <v>0.4</v>
      </c>
      <c r="D34" s="33" t="s">
        <v>44</v>
      </c>
      <c r="E34" s="21">
        <v>325</v>
      </c>
      <c r="F34" s="38">
        <f>Tablo1[[#This Row],[MİKTARI]]*Tablo1[[#This Row],[BİRİM FİYTI]]</f>
        <v>130</v>
      </c>
    </row>
    <row r="35" spans="1:6" x14ac:dyDescent="0.25">
      <c r="A35" s="36">
        <v>17</v>
      </c>
      <c r="B35" s="32" t="s">
        <v>46</v>
      </c>
      <c r="C35" s="33">
        <v>73</v>
      </c>
      <c r="D35" s="33" t="s">
        <v>20</v>
      </c>
      <c r="E35" s="37">
        <v>675</v>
      </c>
      <c r="F35" s="38">
        <f>Tablo1[[#This Row],[MİKTARI]]*Tablo1[[#This Row],[BİRİM FİYTI]]</f>
        <v>49275</v>
      </c>
    </row>
    <row r="36" spans="1:6" x14ac:dyDescent="0.25">
      <c r="A36" s="36">
        <v>18</v>
      </c>
      <c r="B36" s="32" t="s">
        <v>45</v>
      </c>
      <c r="C36" s="33">
        <v>125</v>
      </c>
      <c r="D36" s="33" t="s">
        <v>44</v>
      </c>
      <c r="E36" s="37">
        <v>170</v>
      </c>
      <c r="F36" s="38">
        <f>Tablo1[[#This Row],[MİKTARI]]*Tablo1[[#This Row],[BİRİM FİYTI]]</f>
        <v>21250</v>
      </c>
    </row>
    <row r="37" spans="1:6" x14ac:dyDescent="0.25">
      <c r="A37" s="36">
        <v>19</v>
      </c>
      <c r="B37" s="32" t="s">
        <v>47</v>
      </c>
      <c r="C37" s="33">
        <v>24</v>
      </c>
      <c r="D37" s="33" t="s">
        <v>20</v>
      </c>
      <c r="E37" s="37">
        <v>850</v>
      </c>
      <c r="F37" s="38">
        <f>Tablo1[[#This Row],[MİKTARI]]*Tablo1[[#This Row],[BİRİM FİYTI]]</f>
        <v>20400</v>
      </c>
    </row>
    <row r="38" spans="1:6" x14ac:dyDescent="0.25">
      <c r="A38" s="36">
        <v>20</v>
      </c>
      <c r="B38" s="32" t="s">
        <v>48</v>
      </c>
      <c r="C38" s="33">
        <v>28</v>
      </c>
      <c r="D38" s="33" t="s">
        <v>49</v>
      </c>
      <c r="E38" s="37">
        <v>250</v>
      </c>
      <c r="F38" s="38">
        <f>Tablo1[[#This Row],[MİKTARI]]*Tablo1[[#This Row],[BİRİM FİYTI]]</f>
        <v>7000</v>
      </c>
    </row>
    <row r="39" spans="1:6" x14ac:dyDescent="0.25">
      <c r="A39" s="36">
        <v>21</v>
      </c>
      <c r="B39" s="32"/>
      <c r="C39" s="33"/>
      <c r="D39" s="33"/>
      <c r="E39" s="37"/>
      <c r="F39" s="38"/>
    </row>
    <row r="40" spans="1:6" x14ac:dyDescent="0.25">
      <c r="A40" s="36">
        <v>22</v>
      </c>
      <c r="B40" s="32"/>
      <c r="C40" s="33"/>
      <c r="D40" s="33"/>
      <c r="E40" s="37"/>
      <c r="F40" s="38">
        <f>Tablo1[[#This Row],[MİKTARI]]*Tablo1[[#This Row],[BİRİM FİYTI]]</f>
        <v>0</v>
      </c>
    </row>
    <row r="41" spans="1:6" x14ac:dyDescent="0.25">
      <c r="A41" s="36">
        <v>23</v>
      </c>
      <c r="B41" s="32"/>
      <c r="C41" s="33"/>
      <c r="D41" s="33"/>
      <c r="E41" s="37"/>
      <c r="F41" s="38">
        <f>Tablo1[[#This Row],[MİKTARI]]*Tablo1[[#This Row],[BİRİM FİYTI]]</f>
        <v>0</v>
      </c>
    </row>
    <row r="42" spans="1:6" x14ac:dyDescent="0.25">
      <c r="A42" s="36">
        <v>24</v>
      </c>
      <c r="B42" s="32"/>
      <c r="C42" s="33"/>
      <c r="D42" s="33"/>
      <c r="E42" s="37"/>
      <c r="F42" s="38">
        <f>Tablo1[[#This Row],[MİKTARI]]*Tablo1[[#This Row],[BİRİM FİYTI]]</f>
        <v>0</v>
      </c>
    </row>
    <row r="43" spans="1:6" x14ac:dyDescent="0.25">
      <c r="A43" s="36">
        <v>25</v>
      </c>
      <c r="B43" s="32"/>
      <c r="C43" s="33"/>
      <c r="D43" s="33"/>
      <c r="E43" s="37"/>
      <c r="F43" s="38">
        <f>Tablo1[[#This Row],[MİKTARI]]*Tablo1[[#This Row],[BİRİM FİYTI]]</f>
        <v>0</v>
      </c>
    </row>
    <row r="44" spans="1:6" x14ac:dyDescent="0.25">
      <c r="A44" s="36">
        <v>26</v>
      </c>
      <c r="B44" s="32"/>
      <c r="C44" s="33"/>
      <c r="D44" s="33"/>
      <c r="E44" s="37"/>
      <c r="F44" s="38">
        <f>Tablo1[[#This Row],[MİKTARI]]*Tablo1[[#This Row],[BİRİM FİYTI]]</f>
        <v>0</v>
      </c>
    </row>
    <row r="45" spans="1:6" x14ac:dyDescent="0.25">
      <c r="A45" s="36">
        <v>27</v>
      </c>
      <c r="B45" s="32"/>
      <c r="C45" s="33"/>
      <c r="D45" s="33"/>
      <c r="E45" s="37"/>
      <c r="F45" s="38">
        <f>Tablo1[[#This Row],[MİKTARI]]*Tablo1[[#This Row],[BİRİM FİYTI]]</f>
        <v>0</v>
      </c>
    </row>
    <row r="46" spans="1:6" x14ac:dyDescent="0.25">
      <c r="A46" s="36">
        <v>28</v>
      </c>
      <c r="B46" s="32"/>
      <c r="C46" s="33"/>
      <c r="D46" s="33"/>
      <c r="E46" s="37"/>
      <c r="F46" s="38">
        <f>Tablo1[[#This Row],[MİKTARI]]*Tablo1[[#This Row],[BİRİM FİYTI]]</f>
        <v>0</v>
      </c>
    </row>
    <row r="47" spans="1:6" x14ac:dyDescent="0.25">
      <c r="A47" s="36">
        <v>29</v>
      </c>
      <c r="B47" s="32"/>
      <c r="C47" s="33"/>
      <c r="D47" s="33"/>
      <c r="E47" s="37"/>
      <c r="F47" s="38">
        <f>Tablo1[[#This Row],[MİKTARI]]*Tablo1[[#This Row],[BİRİM FİYTI]]</f>
        <v>0</v>
      </c>
    </row>
    <row r="48" spans="1:6" x14ac:dyDescent="0.25">
      <c r="A48" s="36">
        <v>30</v>
      </c>
      <c r="B48" s="32"/>
      <c r="C48" s="33"/>
      <c r="D48" s="33"/>
      <c r="E48" s="37"/>
      <c r="F48" s="38">
        <f>Tablo1[[#This Row],[MİKTARI]]*Tablo1[[#This Row],[BİRİM FİYTI]]</f>
        <v>0</v>
      </c>
    </row>
    <row r="49" spans="1:6" ht="26.25" x14ac:dyDescent="0.25">
      <c r="A49" s="16" t="s">
        <v>0</v>
      </c>
      <c r="B49" s="20" t="s">
        <v>19</v>
      </c>
      <c r="C49" s="8"/>
      <c r="D49" s="9"/>
      <c r="E49" s="22" t="s">
        <v>7</v>
      </c>
      <c r="F49" s="23">
        <f>SUBTOTAL(109,Tablo1[TOPLAM FİYAT])</f>
        <v>207486.75</v>
      </c>
    </row>
    <row r="56" spans="1:6" ht="15" customHeight="1" x14ac:dyDescent="0.25"/>
    <row r="57" spans="1:6" ht="14.45" customHeight="1" x14ac:dyDescent="0.25"/>
    <row r="64" spans="1:6" ht="14.45" customHeight="1" x14ac:dyDescent="0.5">
      <c r="A64" s="11"/>
      <c r="B64" s="12"/>
      <c r="C64" s="12"/>
      <c r="D64" s="12"/>
      <c r="E64" s="12"/>
      <c r="F64" s="12"/>
    </row>
    <row r="67" spans="1:6" x14ac:dyDescent="0.25">
      <c r="E67" s="2"/>
      <c r="F67" s="18"/>
    </row>
    <row r="68" spans="1:6" x14ac:dyDescent="0.25">
      <c r="A68" t="s">
        <v>24</v>
      </c>
      <c r="C68" t="s">
        <v>23</v>
      </c>
      <c r="E68" s="2"/>
      <c r="F68" s="18"/>
    </row>
    <row r="69" spans="1:6" x14ac:dyDescent="0.25">
      <c r="E69" s="2"/>
      <c r="F69" s="18"/>
    </row>
    <row r="70" spans="1:6" x14ac:dyDescent="0.25">
      <c r="E70" s="2"/>
      <c r="F70" s="18"/>
    </row>
    <row r="71" spans="1:6" x14ac:dyDescent="0.25">
      <c r="E71" s="2"/>
      <c r="F71" s="18"/>
    </row>
    <row r="72" spans="1:6" x14ac:dyDescent="0.25">
      <c r="A72" s="3" t="s">
        <v>1</v>
      </c>
    </row>
    <row r="73" spans="1:6" x14ac:dyDescent="0.25">
      <c r="A73" s="4" t="s">
        <v>17</v>
      </c>
      <c r="B73" s="2"/>
    </row>
    <row r="74" spans="1:6" x14ac:dyDescent="0.25">
      <c r="A74" s="4" t="s">
        <v>18</v>
      </c>
      <c r="B74" s="2"/>
    </row>
    <row r="75" spans="1:6" x14ac:dyDescent="0.25">
      <c r="A75" s="4" t="s">
        <v>16</v>
      </c>
      <c r="B75" s="2"/>
      <c r="E75" s="1"/>
      <c r="F75" s="1"/>
    </row>
    <row r="76" spans="1:6" x14ac:dyDescent="0.25">
      <c r="A76" s="4" t="s">
        <v>15</v>
      </c>
      <c r="B76" s="2"/>
      <c r="E76" s="1"/>
      <c r="F76" s="1"/>
    </row>
    <row r="77" spans="1:6" x14ac:dyDescent="0.25">
      <c r="A77" s="4" t="s">
        <v>14</v>
      </c>
      <c r="B77" s="2"/>
      <c r="C77" s="2"/>
    </row>
    <row r="78" spans="1:6" x14ac:dyDescent="0.25">
      <c r="A78" s="4" t="s">
        <v>13</v>
      </c>
      <c r="B78" s="2"/>
    </row>
    <row r="79" spans="1:6" x14ac:dyDescent="0.25">
      <c r="B79" s="2"/>
    </row>
    <row r="80" spans="1:6" x14ac:dyDescent="0.25">
      <c r="A80" s="42"/>
      <c r="B80" s="42"/>
      <c r="C80" s="42"/>
      <c r="D80" s="42"/>
      <c r="E80" s="42"/>
      <c r="F80" s="42"/>
    </row>
    <row r="81" spans="1:6" x14ac:dyDescent="0.25">
      <c r="A81" s="42"/>
      <c r="B81" s="42"/>
      <c r="C81" s="42"/>
      <c r="D81" s="42"/>
      <c r="E81" s="42"/>
      <c r="F81" s="42"/>
    </row>
    <row r="82" spans="1:6" x14ac:dyDescent="0.25">
      <c r="A82" s="42"/>
      <c r="B82" s="42"/>
      <c r="C82" s="42"/>
      <c r="D82" s="42"/>
      <c r="E82" s="42"/>
      <c r="F82" s="42"/>
    </row>
    <row r="83" spans="1:6" x14ac:dyDescent="0.25">
      <c r="A83" s="42"/>
      <c r="B83" s="42"/>
      <c r="C83" s="42"/>
      <c r="D83" s="42"/>
      <c r="E83" s="42"/>
      <c r="F83" s="42"/>
    </row>
    <row r="84" spans="1:6" x14ac:dyDescent="0.25">
      <c r="A84" s="42"/>
      <c r="B84" s="42"/>
      <c r="C84" s="42"/>
      <c r="D84" s="42"/>
      <c r="E84" s="42"/>
      <c r="F84" s="42"/>
    </row>
    <row r="86" spans="1:6" ht="33.75" x14ac:dyDescent="0.5">
      <c r="A86" s="12"/>
      <c r="B86" s="7"/>
      <c r="C86" s="7"/>
      <c r="D86" s="7"/>
      <c r="F86" s="2" t="s">
        <v>2</v>
      </c>
    </row>
    <row r="87" spans="1:6" ht="33.75" x14ac:dyDescent="0.5">
      <c r="A87" s="12"/>
      <c r="B87" s="13"/>
      <c r="C87" s="7"/>
      <c r="D87" s="40" t="s">
        <v>3</v>
      </c>
      <c r="E87" s="40"/>
      <c r="F87" s="40"/>
    </row>
    <row r="89" spans="1:6" ht="28.5" x14ac:dyDescent="0.25">
      <c r="A89" s="10"/>
      <c r="B89" s="10"/>
      <c r="C89" s="10"/>
      <c r="D89" s="10"/>
      <c r="E89" s="10"/>
      <c r="F89" s="10"/>
    </row>
    <row r="90" spans="1:6" ht="18.75" x14ac:dyDescent="0.25">
      <c r="A90" s="39"/>
      <c r="B90" s="39"/>
      <c r="C90" s="39"/>
      <c r="D90" s="39"/>
      <c r="E90" s="39"/>
      <c r="F90" s="39"/>
    </row>
    <row r="91" spans="1:6" ht="18.75" x14ac:dyDescent="0.25">
      <c r="A91" s="39"/>
      <c r="B91" s="39"/>
      <c r="C91" s="39"/>
      <c r="D91" s="39"/>
      <c r="E91" s="39"/>
      <c r="F91" s="39"/>
    </row>
    <row r="92" spans="1:6" ht="18.75" x14ac:dyDescent="0.25">
      <c r="A92" s="39"/>
      <c r="B92" s="39"/>
      <c r="C92" s="39"/>
      <c r="D92" s="39"/>
      <c r="E92" s="39"/>
      <c r="F92" s="39"/>
    </row>
    <row r="93" spans="1:6" ht="18.75" x14ac:dyDescent="0.25">
      <c r="A93" s="39"/>
      <c r="B93" s="39"/>
      <c r="C93" s="39"/>
      <c r="D93" s="39"/>
      <c r="E93" s="39"/>
      <c r="F93" s="39"/>
    </row>
    <row r="94" spans="1:6" x14ac:dyDescent="0.25">
      <c r="C94" s="2"/>
    </row>
  </sheetData>
  <mergeCells count="8">
    <mergeCell ref="A91:F91"/>
    <mergeCell ref="A92:F92"/>
    <mergeCell ref="A93:F93"/>
    <mergeCell ref="A1:B9"/>
    <mergeCell ref="D10:F10"/>
    <mergeCell ref="A80:F84"/>
    <mergeCell ref="D87:F87"/>
    <mergeCell ref="A90:F90"/>
  </mergeCells>
  <phoneticPr fontId="13" type="noConversion"/>
  <conditionalFormatting sqref="A39:F48">
    <cfRule type="top10" dxfId="1" priority="1" percent="1" rank="10"/>
  </conditionalFormatting>
  <pageMargins left="0.7" right="0.7" top="0.75" bottom="0.75" header="0.3" footer="0.3"/>
  <pageSetup paperSize="9" scale="51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45BD-9019-44D4-BE7C-787CD4C89162}">
  <dimension ref="A1:K100"/>
  <sheetViews>
    <sheetView tabSelected="1" topLeftCell="A7" zoomScale="160" zoomScaleNormal="160" workbookViewId="0">
      <selection activeCell="E7" sqref="E7"/>
    </sheetView>
  </sheetViews>
  <sheetFormatPr defaultRowHeight="15" x14ac:dyDescent="0.25"/>
  <cols>
    <col min="1" max="1" width="4.28515625" customWidth="1"/>
    <col min="2" max="2" width="33.42578125" customWidth="1"/>
    <col min="3" max="3" width="6.7109375" customWidth="1"/>
    <col min="4" max="4" width="6.5703125" customWidth="1"/>
    <col min="5" max="5" width="5.85546875" customWidth="1"/>
    <col min="6" max="6" width="9.140625" customWidth="1"/>
    <col min="7" max="7" width="13.28515625" bestFit="1" customWidth="1"/>
    <col min="8" max="8" width="13.140625" customWidth="1"/>
    <col min="9" max="9" width="19" customWidth="1"/>
    <col min="10" max="10" width="16.5703125" customWidth="1"/>
  </cols>
  <sheetData>
    <row r="1" spans="1:11" x14ac:dyDescent="0.25">
      <c r="A1" s="40"/>
      <c r="B1" s="40"/>
      <c r="C1" s="35"/>
      <c r="D1" s="35"/>
      <c r="E1" s="35"/>
      <c r="F1" s="35"/>
    </row>
    <row r="2" spans="1:11" x14ac:dyDescent="0.25">
      <c r="A2" s="40"/>
      <c r="B2" s="40"/>
      <c r="C2" s="35"/>
      <c r="D2" s="35"/>
      <c r="E2" s="35"/>
      <c r="F2" s="35"/>
    </row>
    <row r="3" spans="1:11" x14ac:dyDescent="0.25">
      <c r="A3" s="40"/>
      <c r="B3" s="40"/>
      <c r="C3" s="35"/>
      <c r="D3" s="35"/>
      <c r="E3" s="35"/>
      <c r="F3" s="35"/>
    </row>
    <row r="4" spans="1:11" x14ac:dyDescent="0.25">
      <c r="A4" s="40"/>
      <c r="B4" s="40"/>
      <c r="C4" s="35"/>
      <c r="D4" s="35"/>
      <c r="E4" s="35"/>
      <c r="F4" s="35"/>
    </row>
    <row r="5" spans="1:11" x14ac:dyDescent="0.25">
      <c r="A5" s="40"/>
      <c r="B5" s="40"/>
      <c r="C5" s="35"/>
      <c r="D5" s="35"/>
      <c r="E5" s="35"/>
      <c r="F5" s="35"/>
    </row>
    <row r="6" spans="1:11" x14ac:dyDescent="0.25">
      <c r="A6" s="40"/>
      <c r="B6" s="40"/>
      <c r="C6" s="35"/>
      <c r="D6" s="35"/>
      <c r="E6" s="35"/>
      <c r="F6" s="35"/>
    </row>
    <row r="7" spans="1:11" x14ac:dyDescent="0.25">
      <c r="A7" s="40"/>
      <c r="B7" s="40"/>
      <c r="C7" s="35"/>
      <c r="D7" s="35"/>
      <c r="E7" s="35"/>
      <c r="F7" s="35"/>
    </row>
    <row r="8" spans="1:11" x14ac:dyDescent="0.25">
      <c r="A8" s="40"/>
      <c r="B8" s="40"/>
      <c r="C8" s="35"/>
      <c r="D8" s="35"/>
      <c r="E8" s="35"/>
      <c r="F8" s="35"/>
    </row>
    <row r="9" spans="1:11" ht="49.9" customHeight="1" x14ac:dyDescent="0.25">
      <c r="A9" s="40"/>
      <c r="B9" s="40"/>
      <c r="C9" s="35"/>
      <c r="D9" s="35"/>
      <c r="E9" s="35"/>
      <c r="F9" s="35"/>
    </row>
    <row r="10" spans="1:11" ht="23.25" x14ac:dyDescent="0.25">
      <c r="A10" s="25"/>
      <c r="B10" s="25"/>
      <c r="C10" s="25"/>
      <c r="D10" s="25"/>
      <c r="E10" s="25"/>
      <c r="F10" s="25"/>
      <c r="G10" s="25"/>
      <c r="H10" s="41"/>
      <c r="I10" s="41"/>
      <c r="J10" s="41"/>
      <c r="K10" s="25"/>
    </row>
    <row r="11" spans="1:11" x14ac:dyDescent="0.25">
      <c r="A11" s="2" t="s">
        <v>8</v>
      </c>
      <c r="B11" s="4"/>
      <c r="C11" s="4"/>
      <c r="D11" s="4"/>
      <c r="E11" s="4"/>
      <c r="F11" s="4"/>
      <c r="G11" s="5"/>
    </row>
    <row r="12" spans="1:11" x14ac:dyDescent="0.25">
      <c r="A12" s="2" t="s">
        <v>9</v>
      </c>
      <c r="B12" s="4"/>
      <c r="C12" s="4"/>
      <c r="D12" s="4"/>
      <c r="E12" s="4"/>
      <c r="F12" s="4"/>
      <c r="G12" s="4"/>
    </row>
    <row r="13" spans="1:11" x14ac:dyDescent="0.25">
      <c r="A13" s="2" t="s">
        <v>10</v>
      </c>
      <c r="B13" s="14"/>
      <c r="C13" s="14"/>
      <c r="D13" s="14"/>
      <c r="E13" s="14"/>
      <c r="F13" s="14"/>
      <c r="I13" s="35"/>
      <c r="J13" s="35"/>
    </row>
    <row r="14" spans="1:11" x14ac:dyDescent="0.25">
      <c r="A14" s="2" t="s">
        <v>11</v>
      </c>
      <c r="B14" s="4"/>
      <c r="C14" s="4"/>
      <c r="D14" s="4"/>
      <c r="E14" s="4"/>
      <c r="F14" s="4"/>
      <c r="I14" s="35"/>
      <c r="J14" s="35"/>
    </row>
    <row r="15" spans="1:11" ht="14.45" customHeight="1" x14ac:dyDescent="0.25">
      <c r="A15" s="2" t="s">
        <v>12</v>
      </c>
      <c r="B15" s="15"/>
      <c r="C15" s="15"/>
      <c r="D15" s="15"/>
      <c r="E15" s="15"/>
      <c r="F15" s="15"/>
      <c r="I15" s="35"/>
      <c r="J15" s="35"/>
    </row>
    <row r="16" spans="1:11" ht="14.45" customHeight="1" x14ac:dyDescent="0.25">
      <c r="A16" s="2"/>
      <c r="B16" s="15"/>
      <c r="C16" s="15"/>
      <c r="D16" s="15"/>
      <c r="E16" s="15"/>
      <c r="F16" s="15"/>
      <c r="I16" s="35"/>
      <c r="J16" s="35"/>
    </row>
    <row r="17" spans="1:10" x14ac:dyDescent="0.25">
      <c r="A17" s="2" t="s">
        <v>51</v>
      </c>
      <c r="B17" s="43" t="s">
        <v>52</v>
      </c>
      <c r="C17" s="43" t="s">
        <v>59</v>
      </c>
      <c r="D17" s="43" t="s">
        <v>60</v>
      </c>
      <c r="E17" s="43" t="s">
        <v>61</v>
      </c>
      <c r="F17" t="s">
        <v>64</v>
      </c>
      <c r="G17" t="s">
        <v>63</v>
      </c>
      <c r="H17" s="35" t="s">
        <v>53</v>
      </c>
      <c r="I17" s="35" t="s">
        <v>54</v>
      </c>
    </row>
    <row r="18" spans="1:10" x14ac:dyDescent="0.25">
      <c r="A18" s="2">
        <v>1</v>
      </c>
      <c r="B18" s="43" t="s">
        <v>55</v>
      </c>
      <c r="C18" s="46">
        <v>0.03</v>
      </c>
      <c r="D18" s="46">
        <v>0.3</v>
      </c>
      <c r="E18" s="46">
        <v>1.25</v>
      </c>
      <c r="F18" s="46">
        <v>70</v>
      </c>
      <c r="G18" s="47">
        <f>F18*E18*D18</f>
        <v>26.25</v>
      </c>
      <c r="H18" s="47">
        <v>875</v>
      </c>
      <c r="I18" s="48">
        <f>H18*G18</f>
        <v>22968.75</v>
      </c>
      <c r="J18" s="35"/>
    </row>
    <row r="19" spans="1:10" x14ac:dyDescent="0.25">
      <c r="A19" s="2"/>
      <c r="B19" s="43"/>
      <c r="C19" s="46"/>
      <c r="D19" s="46"/>
      <c r="E19" s="46"/>
      <c r="F19" s="46"/>
      <c r="G19" s="47"/>
      <c r="H19" s="47"/>
      <c r="I19" s="48"/>
      <c r="J19" s="35"/>
    </row>
    <row r="20" spans="1:10" x14ac:dyDescent="0.25">
      <c r="A20" s="2"/>
      <c r="B20" s="43"/>
      <c r="C20" s="46"/>
      <c r="D20" s="46"/>
      <c r="E20" s="46"/>
      <c r="F20" s="46"/>
      <c r="G20" s="47"/>
      <c r="H20" s="47"/>
      <c r="I20" s="48"/>
      <c r="J20" s="35"/>
    </row>
    <row r="21" spans="1:10" x14ac:dyDescent="0.25">
      <c r="A21" s="2"/>
      <c r="B21" s="43"/>
      <c r="C21" s="46"/>
      <c r="D21" s="46"/>
      <c r="E21" s="46"/>
      <c r="F21" s="46"/>
      <c r="G21" s="47"/>
      <c r="H21" s="47"/>
      <c r="I21" s="48"/>
      <c r="J21" s="35"/>
    </row>
    <row r="22" spans="1:10" x14ac:dyDescent="0.25">
      <c r="A22" s="2"/>
      <c r="B22" s="43"/>
      <c r="C22" s="46"/>
      <c r="D22" s="46"/>
      <c r="E22" s="46"/>
      <c r="F22" s="46"/>
      <c r="G22" s="47"/>
      <c r="H22" s="47"/>
      <c r="I22" s="48"/>
      <c r="J22" s="35"/>
    </row>
    <row r="23" spans="1:10" x14ac:dyDescent="0.25">
      <c r="A23" s="2"/>
      <c r="B23" s="43"/>
      <c r="C23" s="43"/>
      <c r="D23" s="43"/>
      <c r="E23" s="43"/>
      <c r="F23" s="43"/>
      <c r="I23" s="35"/>
      <c r="J23" s="35"/>
    </row>
    <row r="24" spans="1:10" x14ac:dyDescent="0.25">
      <c r="A24" s="28" t="s">
        <v>4</v>
      </c>
      <c r="B24" s="44" t="s">
        <v>33</v>
      </c>
      <c r="C24" s="44" t="s">
        <v>56</v>
      </c>
      <c r="D24" s="44" t="s">
        <v>57</v>
      </c>
      <c r="E24" s="44" t="s">
        <v>58</v>
      </c>
      <c r="F24" s="44" t="s">
        <v>62</v>
      </c>
      <c r="G24" s="29" t="s">
        <v>5</v>
      </c>
      <c r="H24" s="29" t="s">
        <v>6</v>
      </c>
      <c r="I24" s="30" t="s">
        <v>21</v>
      </c>
      <c r="J24" s="31" t="s">
        <v>22</v>
      </c>
    </row>
    <row r="25" spans="1:10" x14ac:dyDescent="0.25">
      <c r="A25" s="26" t="s">
        <v>50</v>
      </c>
      <c r="B25" s="19" t="s">
        <v>26</v>
      </c>
      <c r="C25" s="45"/>
      <c r="D25" s="45"/>
      <c r="E25" s="45"/>
      <c r="F25" s="45"/>
      <c r="G25" s="34">
        <v>26.25</v>
      </c>
      <c r="H25" s="17" t="s">
        <v>25</v>
      </c>
      <c r="I25" s="21">
        <v>875</v>
      </c>
      <c r="J25" s="27">
        <f>Tablo13[[#This Row],[MİKTARI]]*Tablo13[[#This Row],[BİRİM FİYTI]]</f>
        <v>22968.75</v>
      </c>
    </row>
    <row r="26" spans="1:10" x14ac:dyDescent="0.25">
      <c r="A26" s="26">
        <v>2</v>
      </c>
      <c r="B26" s="19" t="s">
        <v>27</v>
      </c>
      <c r="C26" s="19"/>
      <c r="D26" s="19"/>
      <c r="E26" s="19"/>
      <c r="F26" s="19"/>
      <c r="G26" s="17">
        <v>2.1</v>
      </c>
      <c r="H26" s="17" t="s">
        <v>20</v>
      </c>
      <c r="I26" s="21">
        <v>875</v>
      </c>
      <c r="J26" s="27">
        <f>Tablo13[[#This Row],[MİKTARI]]*Tablo13[[#This Row],[BİRİM FİYTI]]</f>
        <v>1837.5</v>
      </c>
    </row>
    <row r="27" spans="1:10" x14ac:dyDescent="0.25">
      <c r="A27" s="26">
        <v>3</v>
      </c>
      <c r="B27" s="19" t="s">
        <v>28</v>
      </c>
      <c r="C27" s="19"/>
      <c r="D27" s="19"/>
      <c r="E27" s="19"/>
      <c r="F27" s="19"/>
      <c r="G27" s="17">
        <v>12.4</v>
      </c>
      <c r="H27" s="17" t="s">
        <v>20</v>
      </c>
      <c r="I27" s="21">
        <v>2500</v>
      </c>
      <c r="J27" s="27">
        <f>Tablo13[[#This Row],[MİKTARI]]*Tablo13[[#This Row],[BİRİM FİYTI]]</f>
        <v>31000</v>
      </c>
    </row>
    <row r="28" spans="1:10" x14ac:dyDescent="0.25">
      <c r="A28" s="26">
        <v>4</v>
      </c>
      <c r="B28" s="19" t="s">
        <v>29</v>
      </c>
      <c r="C28" s="19"/>
      <c r="D28" s="19"/>
      <c r="E28" s="19"/>
      <c r="F28" s="19"/>
      <c r="G28" s="17">
        <v>9.8000000000000007</v>
      </c>
      <c r="H28" s="17" t="s">
        <v>20</v>
      </c>
      <c r="I28" s="21">
        <v>2500</v>
      </c>
      <c r="J28" s="27">
        <f>Tablo13[[#This Row],[MİKTARI]]*Tablo13[[#This Row],[BİRİM FİYTI]]</f>
        <v>24500</v>
      </c>
    </row>
    <row r="29" spans="1:10" x14ac:dyDescent="0.25">
      <c r="A29" s="26">
        <v>5</v>
      </c>
      <c r="B29" s="19" t="s">
        <v>30</v>
      </c>
      <c r="C29" s="19"/>
      <c r="D29" s="19"/>
      <c r="E29" s="19"/>
      <c r="F29" s="19"/>
      <c r="G29" s="17">
        <v>6.65</v>
      </c>
      <c r="H29" s="17" t="s">
        <v>20</v>
      </c>
      <c r="I29" s="21">
        <v>2500</v>
      </c>
      <c r="J29" s="27">
        <f>Tablo13[[#This Row],[MİKTARI]]*Tablo13[[#This Row],[BİRİM FİYTI]]</f>
        <v>16625</v>
      </c>
    </row>
    <row r="30" spans="1:10" x14ac:dyDescent="0.25">
      <c r="A30" s="26">
        <v>6</v>
      </c>
      <c r="B30" s="19" t="s">
        <v>31</v>
      </c>
      <c r="C30" s="19"/>
      <c r="D30" s="19"/>
      <c r="E30" s="19"/>
      <c r="F30" s="19"/>
      <c r="G30" s="17">
        <v>1.8</v>
      </c>
      <c r="H30" s="17" t="s">
        <v>20</v>
      </c>
      <c r="I30" s="21">
        <v>700</v>
      </c>
      <c r="J30" s="27">
        <f>Tablo13[[#This Row],[MİKTARI]]*Tablo13[[#This Row],[BİRİM FİYTI]]</f>
        <v>1260</v>
      </c>
    </row>
    <row r="31" spans="1:10" x14ac:dyDescent="0.25">
      <c r="A31" s="26">
        <v>7</v>
      </c>
      <c r="B31" s="19" t="s">
        <v>32</v>
      </c>
      <c r="C31" s="19"/>
      <c r="D31" s="19"/>
      <c r="E31" s="19"/>
      <c r="F31" s="19"/>
      <c r="G31" s="17">
        <v>2.8</v>
      </c>
      <c r="H31" s="17" t="s">
        <v>20</v>
      </c>
      <c r="I31" s="21">
        <v>700</v>
      </c>
      <c r="J31" s="27">
        <f>Tablo13[[#This Row],[MİKTARI]]*Tablo13[[#This Row],[BİRİM FİYTI]]</f>
        <v>1959.9999999999998</v>
      </c>
    </row>
    <row r="32" spans="1:10" x14ac:dyDescent="0.25">
      <c r="A32" s="26">
        <v>8</v>
      </c>
      <c r="B32" s="19" t="s">
        <v>34</v>
      </c>
      <c r="C32" s="19"/>
      <c r="D32" s="19"/>
      <c r="E32" s="19"/>
      <c r="F32" s="19"/>
      <c r="G32" s="17">
        <v>0.84</v>
      </c>
      <c r="H32" s="17" t="s">
        <v>20</v>
      </c>
      <c r="I32" s="21">
        <v>700</v>
      </c>
      <c r="J32" s="27">
        <f>Tablo13[[#This Row],[MİKTARI]]*Tablo13[[#This Row],[BİRİM FİYTI]]</f>
        <v>588</v>
      </c>
    </row>
    <row r="33" spans="1:10" x14ac:dyDescent="0.25">
      <c r="A33" s="26">
        <v>9</v>
      </c>
      <c r="B33" s="19" t="s">
        <v>35</v>
      </c>
      <c r="C33" s="19"/>
      <c r="D33" s="19"/>
      <c r="E33" s="19"/>
      <c r="F33" s="19"/>
      <c r="G33" s="17">
        <v>3.25</v>
      </c>
      <c r="H33" s="17" t="s">
        <v>20</v>
      </c>
      <c r="I33" s="21">
        <v>700</v>
      </c>
      <c r="J33" s="27">
        <f>Tablo13[[#This Row],[MİKTARI]]*Tablo13[[#This Row],[BİRİM FİYTI]]</f>
        <v>2275</v>
      </c>
    </row>
    <row r="34" spans="1:10" x14ac:dyDescent="0.25">
      <c r="A34" s="26">
        <v>10</v>
      </c>
      <c r="B34" s="19" t="s">
        <v>36</v>
      </c>
      <c r="C34" s="19"/>
      <c r="D34" s="19"/>
      <c r="E34" s="19"/>
      <c r="F34" s="19"/>
      <c r="G34" s="17">
        <v>1.71</v>
      </c>
      <c r="H34" s="17" t="s">
        <v>20</v>
      </c>
      <c r="I34" s="21">
        <v>750</v>
      </c>
      <c r="J34" s="27">
        <f>Tablo13[[#This Row],[MİKTARI]]*Tablo13[[#This Row],[BİRİM FİYTI]]</f>
        <v>1282.5</v>
      </c>
    </row>
    <row r="35" spans="1:10" x14ac:dyDescent="0.25">
      <c r="A35" s="26">
        <v>11</v>
      </c>
      <c r="B35" s="19" t="s">
        <v>37</v>
      </c>
      <c r="C35" s="19"/>
      <c r="D35" s="19"/>
      <c r="E35" s="19"/>
      <c r="F35" s="19"/>
      <c r="G35" s="17">
        <v>3.4</v>
      </c>
      <c r="H35" s="17" t="s">
        <v>44</v>
      </c>
      <c r="I35" s="21">
        <v>325</v>
      </c>
      <c r="J35" s="27">
        <f>Tablo13[[#This Row],[MİKTARI]]*Tablo13[[#This Row],[BİRİM FİYTI]]</f>
        <v>1105</v>
      </c>
    </row>
    <row r="36" spans="1:10" x14ac:dyDescent="0.25">
      <c r="A36" s="26">
        <v>12</v>
      </c>
      <c r="B36" s="19" t="s">
        <v>38</v>
      </c>
      <c r="C36" s="19"/>
      <c r="D36" s="19"/>
      <c r="E36" s="19"/>
      <c r="F36" s="19"/>
      <c r="G36" s="17">
        <v>2.1</v>
      </c>
      <c r="H36" s="17" t="s">
        <v>44</v>
      </c>
      <c r="I36" s="21">
        <v>325</v>
      </c>
      <c r="J36" s="27">
        <f>Tablo13[[#This Row],[MİKTARI]]*Tablo13[[#This Row],[BİRİM FİYTI]]</f>
        <v>682.5</v>
      </c>
    </row>
    <row r="37" spans="1:10" x14ac:dyDescent="0.25">
      <c r="A37" s="26">
        <v>13</v>
      </c>
      <c r="B37" s="19" t="s">
        <v>39</v>
      </c>
      <c r="C37" s="19"/>
      <c r="D37" s="19"/>
      <c r="E37" s="19"/>
      <c r="F37" s="19"/>
      <c r="G37" s="17" t="s">
        <v>40</v>
      </c>
      <c r="H37" s="17" t="s">
        <v>44</v>
      </c>
      <c r="I37" s="21">
        <v>325</v>
      </c>
      <c r="J37" s="27">
        <v>682.5</v>
      </c>
    </row>
    <row r="38" spans="1:10" x14ac:dyDescent="0.25">
      <c r="A38" s="26">
        <v>14</v>
      </c>
      <c r="B38" s="19" t="s">
        <v>41</v>
      </c>
      <c r="C38" s="19"/>
      <c r="D38" s="19"/>
      <c r="E38" s="19"/>
      <c r="F38" s="19"/>
      <c r="G38" s="17">
        <v>5</v>
      </c>
      <c r="H38" s="17" t="s">
        <v>44</v>
      </c>
      <c r="I38" s="21">
        <v>325</v>
      </c>
      <c r="J38" s="27">
        <f>Tablo13[[#This Row],[MİKTARI]]*Tablo13[[#This Row],[BİRİM FİYTI]]</f>
        <v>1625</v>
      </c>
    </row>
    <row r="39" spans="1:10" x14ac:dyDescent="0.25">
      <c r="A39" s="26">
        <v>15</v>
      </c>
      <c r="B39" s="32" t="s">
        <v>42</v>
      </c>
      <c r="C39" s="32"/>
      <c r="D39" s="32"/>
      <c r="E39" s="32"/>
      <c r="F39" s="32"/>
      <c r="G39" s="33">
        <v>3.2</v>
      </c>
      <c r="H39" s="33" t="s">
        <v>44</v>
      </c>
      <c r="I39" s="21">
        <v>325</v>
      </c>
      <c r="J39" s="27">
        <f>Tablo13[[#This Row],[MİKTARI]]*Tablo13[[#This Row],[BİRİM FİYTI]]</f>
        <v>1040</v>
      </c>
    </row>
    <row r="40" spans="1:10" x14ac:dyDescent="0.25">
      <c r="A40" s="36">
        <v>16</v>
      </c>
      <c r="B40" s="32" t="s">
        <v>43</v>
      </c>
      <c r="C40" s="32"/>
      <c r="D40" s="32"/>
      <c r="E40" s="32"/>
      <c r="F40" s="32"/>
      <c r="G40" s="33">
        <v>0.4</v>
      </c>
      <c r="H40" s="33" t="s">
        <v>44</v>
      </c>
      <c r="I40" s="21">
        <v>325</v>
      </c>
      <c r="J40" s="38">
        <f>Tablo13[[#This Row],[MİKTARI]]*Tablo13[[#This Row],[BİRİM FİYTI]]</f>
        <v>130</v>
      </c>
    </row>
    <row r="41" spans="1:10" x14ac:dyDescent="0.25">
      <c r="A41" s="36">
        <v>17</v>
      </c>
      <c r="B41" s="32" t="s">
        <v>46</v>
      </c>
      <c r="C41" s="32"/>
      <c r="D41" s="32"/>
      <c r="E41" s="32"/>
      <c r="F41" s="32"/>
      <c r="G41" s="33">
        <v>73</v>
      </c>
      <c r="H41" s="33" t="s">
        <v>20</v>
      </c>
      <c r="I41" s="37">
        <v>675</v>
      </c>
      <c r="J41" s="38">
        <f>Tablo13[[#This Row],[MİKTARI]]*Tablo13[[#This Row],[BİRİM FİYTI]]</f>
        <v>49275</v>
      </c>
    </row>
    <row r="42" spans="1:10" x14ac:dyDescent="0.25">
      <c r="A42" s="36">
        <v>18</v>
      </c>
      <c r="B42" s="32" t="s">
        <v>45</v>
      </c>
      <c r="C42" s="32"/>
      <c r="D42" s="32"/>
      <c r="E42" s="32"/>
      <c r="F42" s="32"/>
      <c r="G42" s="33">
        <v>125</v>
      </c>
      <c r="H42" s="33" t="s">
        <v>44</v>
      </c>
      <c r="I42" s="37">
        <v>170</v>
      </c>
      <c r="J42" s="38">
        <f>Tablo13[[#This Row],[MİKTARI]]*Tablo13[[#This Row],[BİRİM FİYTI]]</f>
        <v>21250</v>
      </c>
    </row>
    <row r="43" spans="1:10" x14ac:dyDescent="0.25">
      <c r="A43" s="36">
        <v>19</v>
      </c>
      <c r="B43" s="32" t="s">
        <v>47</v>
      </c>
      <c r="C43" s="32"/>
      <c r="D43" s="32"/>
      <c r="E43" s="32"/>
      <c r="F43" s="32"/>
      <c r="G43" s="33">
        <v>24</v>
      </c>
      <c r="H43" s="33" t="s">
        <v>20</v>
      </c>
      <c r="I43" s="37">
        <v>850</v>
      </c>
      <c r="J43" s="38">
        <f>Tablo13[[#This Row],[MİKTARI]]*Tablo13[[#This Row],[BİRİM FİYTI]]</f>
        <v>20400</v>
      </c>
    </row>
    <row r="44" spans="1:10" x14ac:dyDescent="0.25">
      <c r="A44" s="36">
        <v>20</v>
      </c>
      <c r="B44" s="32" t="s">
        <v>48</v>
      </c>
      <c r="C44" s="32"/>
      <c r="D44" s="32"/>
      <c r="E44" s="32"/>
      <c r="F44" s="32"/>
      <c r="G44" s="33">
        <v>28</v>
      </c>
      <c r="H44" s="33" t="s">
        <v>49</v>
      </c>
      <c r="I44" s="37">
        <v>250</v>
      </c>
      <c r="J44" s="38">
        <f>Tablo13[[#This Row],[MİKTARI]]*Tablo13[[#This Row],[BİRİM FİYTI]]</f>
        <v>7000</v>
      </c>
    </row>
    <row r="45" spans="1:10" x14ac:dyDescent="0.25">
      <c r="A45" s="36">
        <v>21</v>
      </c>
      <c r="B45" s="32"/>
      <c r="C45" s="32"/>
      <c r="D45" s="32"/>
      <c r="E45" s="32"/>
      <c r="F45" s="32"/>
      <c r="G45" s="33"/>
      <c r="H45" s="33"/>
      <c r="I45" s="37"/>
      <c r="J45" s="38"/>
    </row>
    <row r="46" spans="1:10" x14ac:dyDescent="0.25">
      <c r="A46" s="36">
        <v>22</v>
      </c>
      <c r="B46" s="32"/>
      <c r="C46" s="32"/>
      <c r="D46" s="32"/>
      <c r="E46" s="32"/>
      <c r="F46" s="32"/>
      <c r="G46" s="33"/>
      <c r="H46" s="33"/>
      <c r="I46" s="37"/>
      <c r="J46" s="38">
        <f>Tablo13[[#This Row],[MİKTARI]]*Tablo13[[#This Row],[BİRİM FİYTI]]</f>
        <v>0</v>
      </c>
    </row>
    <row r="47" spans="1:10" x14ac:dyDescent="0.25">
      <c r="A47" s="36">
        <v>23</v>
      </c>
      <c r="B47" s="32"/>
      <c r="C47" s="32"/>
      <c r="D47" s="32"/>
      <c r="E47" s="32"/>
      <c r="F47" s="32"/>
      <c r="G47" s="33"/>
      <c r="H47" s="33"/>
      <c r="I47" s="37"/>
      <c r="J47" s="38">
        <f>Tablo13[[#This Row],[MİKTARI]]*Tablo13[[#This Row],[BİRİM FİYTI]]</f>
        <v>0</v>
      </c>
    </row>
    <row r="48" spans="1:10" x14ac:dyDescent="0.25">
      <c r="A48" s="36">
        <v>24</v>
      </c>
      <c r="B48" s="32"/>
      <c r="C48" s="32"/>
      <c r="D48" s="32"/>
      <c r="E48" s="32"/>
      <c r="F48" s="32"/>
      <c r="G48" s="33"/>
      <c r="H48" s="33"/>
      <c r="I48" s="37"/>
      <c r="J48" s="38">
        <f>Tablo13[[#This Row],[MİKTARI]]*Tablo13[[#This Row],[BİRİM FİYTI]]</f>
        <v>0</v>
      </c>
    </row>
    <row r="49" spans="1:10" x14ac:dyDescent="0.25">
      <c r="A49" s="36">
        <v>25</v>
      </c>
      <c r="B49" s="32"/>
      <c r="C49" s="32"/>
      <c r="D49" s="32"/>
      <c r="E49" s="32"/>
      <c r="F49" s="32"/>
      <c r="G49" s="33"/>
      <c r="H49" s="33"/>
      <c r="I49" s="37"/>
      <c r="J49" s="38">
        <f>Tablo13[[#This Row],[MİKTARI]]*Tablo13[[#This Row],[BİRİM FİYTI]]</f>
        <v>0</v>
      </c>
    </row>
    <row r="50" spans="1:10" x14ac:dyDescent="0.25">
      <c r="A50" s="36">
        <v>26</v>
      </c>
      <c r="B50" s="32"/>
      <c r="C50" s="32"/>
      <c r="D50" s="32"/>
      <c r="E50" s="32"/>
      <c r="F50" s="32"/>
      <c r="G50" s="33"/>
      <c r="H50" s="33"/>
      <c r="I50" s="37"/>
      <c r="J50" s="38">
        <f>Tablo13[[#This Row],[MİKTARI]]*Tablo13[[#This Row],[BİRİM FİYTI]]</f>
        <v>0</v>
      </c>
    </row>
    <row r="51" spans="1:10" x14ac:dyDescent="0.25">
      <c r="A51" s="36">
        <v>27</v>
      </c>
      <c r="B51" s="32"/>
      <c r="C51" s="32"/>
      <c r="D51" s="32"/>
      <c r="E51" s="32"/>
      <c r="F51" s="32"/>
      <c r="G51" s="33"/>
      <c r="H51" s="33"/>
      <c r="I51" s="37"/>
      <c r="J51" s="38">
        <f>Tablo13[[#This Row],[MİKTARI]]*Tablo13[[#This Row],[BİRİM FİYTI]]</f>
        <v>0</v>
      </c>
    </row>
    <row r="52" spans="1:10" x14ac:dyDescent="0.25">
      <c r="A52" s="36">
        <v>28</v>
      </c>
      <c r="B52" s="32"/>
      <c r="C52" s="32"/>
      <c r="D52" s="32"/>
      <c r="E52" s="32"/>
      <c r="F52" s="32"/>
      <c r="G52" s="33"/>
      <c r="H52" s="33"/>
      <c r="I52" s="37"/>
      <c r="J52" s="38">
        <f>Tablo13[[#This Row],[MİKTARI]]*Tablo13[[#This Row],[BİRİM FİYTI]]</f>
        <v>0</v>
      </c>
    </row>
    <row r="53" spans="1:10" x14ac:dyDescent="0.25">
      <c r="A53" s="36">
        <v>29</v>
      </c>
      <c r="B53" s="32"/>
      <c r="C53" s="32"/>
      <c r="D53" s="32"/>
      <c r="E53" s="32"/>
      <c r="F53" s="32"/>
      <c r="G53" s="33"/>
      <c r="H53" s="33"/>
      <c r="I53" s="37"/>
      <c r="J53" s="38">
        <f>Tablo13[[#This Row],[MİKTARI]]*Tablo13[[#This Row],[BİRİM FİYTI]]</f>
        <v>0</v>
      </c>
    </row>
    <row r="54" spans="1:10" x14ac:dyDescent="0.25">
      <c r="A54" s="36">
        <v>30</v>
      </c>
      <c r="B54" s="32"/>
      <c r="C54" s="32"/>
      <c r="D54" s="32"/>
      <c r="E54" s="32"/>
      <c r="F54" s="32"/>
      <c r="G54" s="33"/>
      <c r="H54" s="33"/>
      <c r="I54" s="37"/>
      <c r="J54" s="38">
        <f>Tablo13[[#This Row],[MİKTARI]]*Tablo13[[#This Row],[BİRİM FİYTI]]</f>
        <v>0</v>
      </c>
    </row>
    <row r="55" spans="1:10" ht="26.25" x14ac:dyDescent="0.25">
      <c r="A55" s="16" t="s">
        <v>0</v>
      </c>
      <c r="B55" s="20" t="s">
        <v>19</v>
      </c>
      <c r="C55" s="20"/>
      <c r="D55" s="20"/>
      <c r="E55" s="20"/>
      <c r="F55" s="20"/>
      <c r="G55" s="8"/>
      <c r="H55" s="9"/>
      <c r="I55" s="22" t="s">
        <v>7</v>
      </c>
      <c r="J55" s="23">
        <f>SUBTOTAL(109,Tablo13[TOPLAM FİYAT])</f>
        <v>207486.75</v>
      </c>
    </row>
    <row r="62" spans="1:10" ht="15" customHeight="1" x14ac:dyDescent="0.25"/>
    <row r="63" spans="1:10" ht="14.45" customHeight="1" x14ac:dyDescent="0.25"/>
    <row r="70" spans="1:10" ht="14.45" customHeight="1" x14ac:dyDescent="0.5">
      <c r="A70" s="11"/>
      <c r="B70" s="12"/>
      <c r="C70" s="12"/>
      <c r="D70" s="12"/>
      <c r="E70" s="12"/>
      <c r="F70" s="12"/>
      <c r="G70" s="12"/>
      <c r="H70" s="12"/>
      <c r="I70" s="12"/>
      <c r="J70" s="12"/>
    </row>
    <row r="73" spans="1:10" x14ac:dyDescent="0.25">
      <c r="I73" s="2"/>
      <c r="J73" s="18"/>
    </row>
    <row r="74" spans="1:10" x14ac:dyDescent="0.25">
      <c r="A74" t="s">
        <v>24</v>
      </c>
      <c r="G74" t="s">
        <v>23</v>
      </c>
      <c r="I74" s="2"/>
      <c r="J74" s="18"/>
    </row>
    <row r="75" spans="1:10" x14ac:dyDescent="0.25">
      <c r="I75" s="2"/>
      <c r="J75" s="18"/>
    </row>
    <row r="76" spans="1:10" x14ac:dyDescent="0.25">
      <c r="I76" s="2"/>
      <c r="J76" s="18"/>
    </row>
    <row r="77" spans="1:10" x14ac:dyDescent="0.25">
      <c r="I77" s="2"/>
      <c r="J77" s="18"/>
    </row>
    <row r="78" spans="1:10" x14ac:dyDescent="0.25">
      <c r="A78" s="3" t="s">
        <v>1</v>
      </c>
    </row>
    <row r="79" spans="1:10" x14ac:dyDescent="0.25">
      <c r="A79" s="4" t="s">
        <v>17</v>
      </c>
      <c r="B79" s="2"/>
      <c r="C79" s="2"/>
      <c r="D79" s="2"/>
      <c r="E79" s="2"/>
      <c r="F79" s="2"/>
    </row>
    <row r="80" spans="1:10" x14ac:dyDescent="0.25">
      <c r="A80" s="4" t="s">
        <v>18</v>
      </c>
      <c r="B80" s="2"/>
      <c r="C80" s="2"/>
      <c r="D80" s="2"/>
      <c r="E80" s="2"/>
      <c r="F80" s="2"/>
    </row>
    <row r="81" spans="1:10" x14ac:dyDescent="0.25">
      <c r="A81" s="4" t="s">
        <v>16</v>
      </c>
      <c r="B81" s="2"/>
      <c r="C81" s="2"/>
      <c r="D81" s="2"/>
      <c r="E81" s="2"/>
      <c r="F81" s="2"/>
      <c r="I81" s="1"/>
      <c r="J81" s="1"/>
    </row>
    <row r="82" spans="1:10" x14ac:dyDescent="0.25">
      <c r="A82" s="4" t="s">
        <v>15</v>
      </c>
      <c r="B82" s="2"/>
      <c r="C82" s="2"/>
      <c r="D82" s="2"/>
      <c r="E82" s="2"/>
      <c r="F82" s="2"/>
      <c r="I82" s="1"/>
      <c r="J82" s="1"/>
    </row>
    <row r="83" spans="1:10" x14ac:dyDescent="0.25">
      <c r="A83" s="4" t="s">
        <v>14</v>
      </c>
      <c r="B83" s="2"/>
      <c r="C83" s="2"/>
      <c r="D83" s="2"/>
      <c r="E83" s="2"/>
      <c r="F83" s="2"/>
      <c r="G83" s="2"/>
    </row>
    <row r="84" spans="1:10" x14ac:dyDescent="0.25">
      <c r="A84" s="4" t="s">
        <v>13</v>
      </c>
      <c r="B84" s="2"/>
      <c r="C84" s="2"/>
      <c r="D84" s="2"/>
      <c r="E84" s="2"/>
      <c r="F84" s="2"/>
    </row>
    <row r="85" spans="1:10" x14ac:dyDescent="0.25">
      <c r="B85" s="2"/>
      <c r="C85" s="2"/>
      <c r="D85" s="2"/>
      <c r="E85" s="2"/>
      <c r="F85" s="2"/>
    </row>
    <row r="86" spans="1:10" x14ac:dyDescent="0.25">
      <c r="A86" s="42"/>
      <c r="B86" s="42"/>
      <c r="C86" s="42"/>
      <c r="D86" s="42"/>
      <c r="E86" s="42"/>
      <c r="F86" s="42"/>
      <c r="G86" s="42"/>
      <c r="H86" s="42"/>
      <c r="I86" s="42"/>
      <c r="J86" s="42"/>
    </row>
    <row r="87" spans="1:10" x14ac:dyDescent="0.25">
      <c r="A87" s="42"/>
      <c r="B87" s="42"/>
      <c r="C87" s="42"/>
      <c r="D87" s="42"/>
      <c r="E87" s="42"/>
      <c r="F87" s="42"/>
      <c r="G87" s="42"/>
      <c r="H87" s="42"/>
      <c r="I87" s="42"/>
      <c r="J87" s="42"/>
    </row>
    <row r="88" spans="1:10" x14ac:dyDescent="0.25">
      <c r="A88" s="42"/>
      <c r="B88" s="42"/>
      <c r="C88" s="42"/>
      <c r="D88" s="42"/>
      <c r="E88" s="42"/>
      <c r="F88" s="42"/>
      <c r="G88" s="42"/>
      <c r="H88" s="42"/>
      <c r="I88" s="42"/>
      <c r="J88" s="42"/>
    </row>
    <row r="89" spans="1:10" x14ac:dyDescent="0.25">
      <c r="A89" s="42"/>
      <c r="B89" s="42"/>
      <c r="C89" s="42"/>
      <c r="D89" s="42"/>
      <c r="E89" s="42"/>
      <c r="F89" s="42"/>
      <c r="G89" s="42"/>
      <c r="H89" s="42"/>
      <c r="I89" s="42"/>
      <c r="J89" s="42"/>
    </row>
    <row r="90" spans="1:10" x14ac:dyDescent="0.25">
      <c r="A90" s="42"/>
      <c r="B90" s="42"/>
      <c r="C90" s="42"/>
      <c r="D90" s="42"/>
      <c r="E90" s="42"/>
      <c r="F90" s="42"/>
      <c r="G90" s="42"/>
      <c r="H90" s="42"/>
      <c r="I90" s="42"/>
      <c r="J90" s="42"/>
    </row>
    <row r="92" spans="1:10" ht="33.75" x14ac:dyDescent="0.5">
      <c r="A92" s="12"/>
      <c r="B92" s="7"/>
      <c r="C92" s="7"/>
      <c r="D92" s="7"/>
      <c r="E92" s="7"/>
      <c r="F92" s="7"/>
      <c r="G92" s="7"/>
      <c r="H92" s="7"/>
      <c r="J92" s="2" t="s">
        <v>2</v>
      </c>
    </row>
    <row r="93" spans="1:10" ht="33.75" x14ac:dyDescent="0.5">
      <c r="A93" s="12"/>
      <c r="B93" s="13"/>
      <c r="C93" s="13"/>
      <c r="D93" s="13"/>
      <c r="E93" s="13"/>
      <c r="F93" s="13"/>
      <c r="G93" s="7"/>
      <c r="H93" s="40" t="s">
        <v>3</v>
      </c>
      <c r="I93" s="40"/>
      <c r="J93" s="40"/>
    </row>
    <row r="95" spans="1:10" ht="28.5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</row>
    <row r="96" spans="1:10" ht="18.75" x14ac:dyDescent="0.25">
      <c r="A96" s="39"/>
      <c r="B96" s="39"/>
      <c r="C96" s="39"/>
      <c r="D96" s="39"/>
      <c r="E96" s="39"/>
      <c r="F96" s="39"/>
      <c r="G96" s="39"/>
      <c r="H96" s="39"/>
      <c r="I96" s="39"/>
      <c r="J96" s="39"/>
    </row>
    <row r="97" spans="1:10" ht="18.75" x14ac:dyDescent="0.25">
      <c r="A97" s="39"/>
      <c r="B97" s="39"/>
      <c r="C97" s="39"/>
      <c r="D97" s="39"/>
      <c r="E97" s="39"/>
      <c r="F97" s="39"/>
      <c r="G97" s="39"/>
      <c r="H97" s="39"/>
      <c r="I97" s="39"/>
      <c r="J97" s="39"/>
    </row>
    <row r="98" spans="1:10" ht="18.75" x14ac:dyDescent="0.25">
      <c r="A98" s="39"/>
      <c r="B98" s="39"/>
      <c r="C98" s="39"/>
      <c r="D98" s="39"/>
      <c r="E98" s="39"/>
      <c r="F98" s="39"/>
      <c r="G98" s="39"/>
      <c r="H98" s="39"/>
      <c r="I98" s="39"/>
      <c r="J98" s="39"/>
    </row>
    <row r="99" spans="1:10" ht="18.75" x14ac:dyDescent="0.25">
      <c r="A99" s="39"/>
      <c r="B99" s="39"/>
      <c r="C99" s="39"/>
      <c r="D99" s="39"/>
      <c r="E99" s="39"/>
      <c r="F99" s="39"/>
      <c r="G99" s="39"/>
      <c r="H99" s="39"/>
      <c r="I99" s="39"/>
      <c r="J99" s="39"/>
    </row>
    <row r="100" spans="1:10" x14ac:dyDescent="0.25">
      <c r="G100" s="2"/>
    </row>
  </sheetData>
  <mergeCells count="8">
    <mergeCell ref="A98:J98"/>
    <mergeCell ref="A99:J99"/>
    <mergeCell ref="A1:B9"/>
    <mergeCell ref="H10:J10"/>
    <mergeCell ref="A86:J90"/>
    <mergeCell ref="H93:J93"/>
    <mergeCell ref="A96:J96"/>
    <mergeCell ref="A97:J97"/>
  </mergeCells>
  <phoneticPr fontId="13" type="noConversion"/>
  <conditionalFormatting sqref="A45:J54">
    <cfRule type="top10" dxfId="0" priority="1" percent="1" rank="10"/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TEKLİF 2022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2025-06-13T15:39:12Z</dcterms:modified>
</cp:coreProperties>
</file>