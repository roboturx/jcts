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\Downloads\ilkay\TÜM PROJELER\MİMARİ\"/>
    </mc:Choice>
  </mc:AlternateContent>
  <xr:revisionPtr revIDLastSave="0" documentId="13_ncr:1_{F708088E-A893-4BEB-ADE5-F7CA4F82B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L39" i="1"/>
  <c r="H38" i="1"/>
  <c r="L38" i="1" s="1"/>
  <c r="H37" i="1"/>
  <c r="L37" i="1" s="1"/>
  <c r="H36" i="1"/>
  <c r="L36" i="1" s="1"/>
  <c r="H35" i="1"/>
  <c r="L35" i="1" s="1"/>
  <c r="H34" i="1"/>
  <c r="L34" i="1" s="1"/>
  <c r="H12" i="1"/>
  <c r="L12" i="1" s="1"/>
  <c r="H11" i="1"/>
  <c r="L11" i="1" s="1"/>
  <c r="H10" i="1"/>
  <c r="L10" i="1" s="1"/>
  <c r="H33" i="1"/>
  <c r="L33" i="1" s="1"/>
  <c r="H46" i="1"/>
  <c r="L46" i="1" s="1"/>
  <c r="H45" i="1"/>
  <c r="L45" i="1" s="1"/>
  <c r="H44" i="1"/>
  <c r="L44" i="1" s="1"/>
  <c r="H43" i="1"/>
  <c r="K43" i="1" s="1"/>
  <c r="H31" i="1"/>
  <c r="L31" i="1" s="1"/>
  <c r="H30" i="1"/>
  <c r="L30" i="1" s="1"/>
  <c r="H29" i="1"/>
  <c r="K29" i="1" s="1"/>
  <c r="H20" i="1"/>
  <c r="L20" i="1" s="1"/>
  <c r="H19" i="1"/>
  <c r="L19" i="1" s="1"/>
  <c r="H18" i="1"/>
  <c r="L18" i="1" s="1"/>
  <c r="H17" i="1"/>
  <c r="K17" i="1" s="1"/>
  <c r="H9" i="1"/>
  <c r="L9" i="1" s="1"/>
  <c r="H8" i="1"/>
  <c r="L8" i="1" s="1"/>
  <c r="H7" i="1"/>
  <c r="K7" i="1" s="1"/>
  <c r="L22" i="1" l="1"/>
  <c r="K50" i="1"/>
  <c r="K22" i="1"/>
  <c r="L50" i="1"/>
  <c r="L52" i="1" l="1"/>
  <c r="K52" i="1"/>
</calcChain>
</file>

<file path=xl/sharedStrings.xml><?xml version="1.0" encoding="utf-8"?>
<sst xmlns="http://schemas.openxmlformats.org/spreadsheetml/2006/main" count="65" uniqueCount="30">
  <si>
    <t>BLOK A</t>
  </si>
  <si>
    <t>rıht</t>
  </si>
  <si>
    <t>en</t>
  </si>
  <si>
    <t>boy</t>
  </si>
  <si>
    <t>adet</t>
  </si>
  <si>
    <t>sahanlık</t>
  </si>
  <si>
    <t>basamak</t>
  </si>
  <si>
    <t>m2</t>
  </si>
  <si>
    <t>MERDİVEN : (18x16,66/27(H:300)</t>
  </si>
  <si>
    <t>KAÇIŞ MERDİVENİ : (18x16,66/28(H:300)</t>
  </si>
  <si>
    <t>set</t>
  </si>
  <si>
    <t>toplam m2</t>
  </si>
  <si>
    <t>kat m2</t>
  </si>
  <si>
    <t>3 cm</t>
  </si>
  <si>
    <t>2 cm</t>
  </si>
  <si>
    <t>BLOK B</t>
  </si>
  <si>
    <t>MERDİVEN : (18x16,66/28(H:300)</t>
  </si>
  <si>
    <t>BLOK A TOPLAMLARI  M2</t>
  </si>
  <si>
    <t>BLOK A + B TOPLAM  M2</t>
  </si>
  <si>
    <t>KAT HOLÜ 1</t>
  </si>
  <si>
    <t>KAT HOLÜ 4</t>
  </si>
  <si>
    <t>KAT HOLÜ 5</t>
  </si>
  <si>
    <t>KAT HOLÜ Z-1-2</t>
  </si>
  <si>
    <t>KAT HOLÜ 3</t>
  </si>
  <si>
    <t xml:space="preserve">KAT HOLÜ 4-5 </t>
  </si>
  <si>
    <t>KAT HOLÜ Z</t>
  </si>
  <si>
    <t>KAT HOLÜ 2</t>
  </si>
  <si>
    <t>KAT HOLU SHNLK</t>
  </si>
  <si>
    <t>KAT HOLU 6-ÇATI</t>
  </si>
  <si>
    <t>ANTALYA-AKSU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</si>
</sst>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43" fontId="0" fillId="0" borderId="0" xfId="1" applyFont="1"/>
    <xf numFmtId="2" fontId="3" fillId="0" borderId="0" xfId="0" applyNumberFormat="1" applyFont="1"/>
    <xf numFmtId="0" fontId="0" fillId="0" borderId="1" xfId="0" applyBorder="1"/>
    <xf numFmtId="2" fontId="0" fillId="0" borderId="2" xfId="0" applyNumberFormat="1" applyBorder="1"/>
    <xf numFmtId="0" fontId="2" fillId="0" borderId="2" xfId="0" applyFont="1" applyBorder="1" applyAlignment="1">
      <alignment horizontal="right"/>
    </xf>
    <xf numFmtId="0" fontId="0" fillId="0" borderId="2" xfId="0" applyBorder="1"/>
    <xf numFmtId="43" fontId="0" fillId="0" borderId="2" xfId="0" applyNumberFormat="1" applyBorder="1"/>
    <xf numFmtId="43" fontId="0" fillId="0" borderId="3" xfId="0" applyNumberFormat="1" applyBorder="1"/>
    <xf numFmtId="43" fontId="2" fillId="0" borderId="2" xfId="0" applyNumberFormat="1" applyFont="1" applyBorder="1"/>
    <xf numFmtId="43" fontId="2" fillId="0" borderId="3" xfId="0" applyNumberFormat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2"/>
  <sheetViews>
    <sheetView tabSelected="1" topLeftCell="A13" zoomScale="130" zoomScaleNormal="130" workbookViewId="0">
      <selection activeCell="A3" sqref="A3"/>
    </sheetView>
  </sheetViews>
  <sheetFormatPr defaultRowHeight="15" x14ac:dyDescent="0.25"/>
  <cols>
    <col min="1" max="1" width="15.85546875" customWidth="1"/>
    <col min="5" max="5" width="2" customWidth="1"/>
    <col min="6" max="6" width="5.7109375" bestFit="1" customWidth="1"/>
    <col min="7" max="7" width="2.7109375" customWidth="1"/>
    <col min="8" max="8" width="6.85546875" style="1" bestFit="1" customWidth="1"/>
    <col min="9" max="9" width="6.42578125" customWidth="1"/>
    <col min="10" max="10" width="2.140625" customWidth="1"/>
    <col min="11" max="11" width="11" customWidth="1"/>
  </cols>
  <sheetData>
    <row r="3" spans="1:12" ht="18.75" x14ac:dyDescent="0.3">
      <c r="A3" s="4" t="s">
        <v>29</v>
      </c>
      <c r="B3" s="6" t="s">
        <v>0</v>
      </c>
      <c r="C3" s="1"/>
      <c r="D3" s="1"/>
      <c r="E3" s="1"/>
      <c r="F3" s="1"/>
      <c r="G3" s="1"/>
    </row>
    <row r="4" spans="1:12" x14ac:dyDescent="0.25">
      <c r="A4" s="1"/>
      <c r="B4" s="1"/>
      <c r="C4" s="1"/>
      <c r="D4" s="1"/>
      <c r="E4" s="1"/>
      <c r="F4" s="1"/>
      <c r="G4" s="1"/>
    </row>
    <row r="5" spans="1:12" x14ac:dyDescent="0.25">
      <c r="A5" s="4" t="s">
        <v>8</v>
      </c>
      <c r="B5" s="1"/>
      <c r="C5" s="1"/>
      <c r="D5" s="1"/>
      <c r="E5" s="1"/>
      <c r="F5" s="1"/>
      <c r="G5" s="1"/>
      <c r="K5" s="3" t="s">
        <v>11</v>
      </c>
      <c r="L5" s="3"/>
    </row>
    <row r="6" spans="1:12" x14ac:dyDescent="0.25">
      <c r="A6" s="1"/>
      <c r="B6" s="3" t="s">
        <v>3</v>
      </c>
      <c r="C6" s="3" t="s">
        <v>2</v>
      </c>
      <c r="D6" s="3"/>
      <c r="E6" s="3"/>
      <c r="F6" s="3" t="s">
        <v>4</v>
      </c>
      <c r="G6" s="4"/>
      <c r="H6" s="3" t="s">
        <v>12</v>
      </c>
      <c r="I6" s="3" t="s">
        <v>10</v>
      </c>
      <c r="J6" s="3"/>
      <c r="K6" s="2" t="s">
        <v>13</v>
      </c>
      <c r="L6" s="2" t="s">
        <v>14</v>
      </c>
    </row>
    <row r="7" spans="1:12" x14ac:dyDescent="0.25">
      <c r="A7" s="1" t="s">
        <v>6</v>
      </c>
      <c r="B7" s="1">
        <v>1.2</v>
      </c>
      <c r="C7" s="1">
        <v>0.28999999999999998</v>
      </c>
      <c r="D7" s="1"/>
      <c r="E7" s="1"/>
      <c r="F7" s="1">
        <v>18</v>
      </c>
      <c r="G7" s="1"/>
      <c r="H7" s="1">
        <f>F7*B7*C7</f>
        <v>6.2639999999999993</v>
      </c>
      <c r="I7">
        <v>6</v>
      </c>
      <c r="K7" s="5">
        <f>I7*H7</f>
        <v>37.583999999999996</v>
      </c>
      <c r="L7" s="5"/>
    </row>
    <row r="8" spans="1:12" x14ac:dyDescent="0.25">
      <c r="A8" s="1" t="s">
        <v>1</v>
      </c>
      <c r="B8" s="1">
        <v>1.2</v>
      </c>
      <c r="C8" s="1">
        <v>0.1666</v>
      </c>
      <c r="D8" s="1"/>
      <c r="E8" s="1"/>
      <c r="F8" s="1">
        <v>18</v>
      </c>
      <c r="G8" s="1"/>
      <c r="H8" s="1">
        <f>F8*B8*C8</f>
        <v>3.5985599999999995</v>
      </c>
      <c r="I8">
        <v>6</v>
      </c>
      <c r="K8" s="5"/>
      <c r="L8" s="5">
        <f>I8*H8</f>
        <v>21.591359999999998</v>
      </c>
    </row>
    <row r="9" spans="1:12" x14ac:dyDescent="0.25">
      <c r="A9" s="1" t="s">
        <v>5</v>
      </c>
      <c r="B9" s="1">
        <v>1.2</v>
      </c>
      <c r="C9" s="1">
        <v>1.2</v>
      </c>
      <c r="D9" s="1"/>
      <c r="E9" s="1"/>
      <c r="F9" s="1">
        <v>2</v>
      </c>
      <c r="G9" s="1"/>
      <c r="H9" s="1">
        <f>F9*B9*C9</f>
        <v>2.88</v>
      </c>
      <c r="I9">
        <v>6</v>
      </c>
      <c r="K9" s="5"/>
      <c r="L9" s="5">
        <f>I9*H9</f>
        <v>17.28</v>
      </c>
    </row>
    <row r="10" spans="1:12" x14ac:dyDescent="0.25">
      <c r="A10" s="1" t="s">
        <v>22</v>
      </c>
      <c r="B10" s="1">
        <v>1.2</v>
      </c>
      <c r="C10" s="1">
        <v>32</v>
      </c>
      <c r="D10" s="1"/>
      <c r="E10" s="1"/>
      <c r="F10" s="1">
        <v>1</v>
      </c>
      <c r="G10" s="1"/>
      <c r="H10" s="1">
        <f>F10*B10*C10</f>
        <v>38.4</v>
      </c>
      <c r="I10">
        <v>3</v>
      </c>
      <c r="K10" s="5"/>
      <c r="L10" s="5">
        <f>I10*H10</f>
        <v>115.19999999999999</v>
      </c>
    </row>
    <row r="11" spans="1:12" x14ac:dyDescent="0.25">
      <c r="A11" s="1" t="s">
        <v>23</v>
      </c>
      <c r="B11" s="1">
        <v>1.2</v>
      </c>
      <c r="C11" s="1">
        <v>22</v>
      </c>
      <c r="D11" s="1"/>
      <c r="E11" s="1"/>
      <c r="F11" s="1">
        <v>1</v>
      </c>
      <c r="G11" s="1"/>
      <c r="H11" s="1">
        <f>F11*B11*C11</f>
        <v>26.4</v>
      </c>
      <c r="I11">
        <v>1</v>
      </c>
      <c r="K11" s="5"/>
      <c r="L11" s="5">
        <f>I11*H11</f>
        <v>26.4</v>
      </c>
    </row>
    <row r="12" spans="1:12" x14ac:dyDescent="0.25">
      <c r="A12" s="1" t="s">
        <v>24</v>
      </c>
      <c r="B12" s="1">
        <v>1.2</v>
      </c>
      <c r="C12" s="1">
        <v>14.25</v>
      </c>
      <c r="D12" s="1"/>
      <c r="E12" s="1"/>
      <c r="F12" s="1">
        <v>1</v>
      </c>
      <c r="G12" s="1"/>
      <c r="H12" s="1">
        <f>F12*B12*C12</f>
        <v>17.099999999999998</v>
      </c>
      <c r="I12">
        <v>2</v>
      </c>
      <c r="K12" s="5"/>
      <c r="L12" s="5">
        <f>I12*H12</f>
        <v>34.199999999999996</v>
      </c>
    </row>
    <row r="13" spans="1:12" x14ac:dyDescent="0.25">
      <c r="A13" s="1"/>
      <c r="B13" s="1"/>
      <c r="C13" s="1"/>
      <c r="D13" s="1"/>
      <c r="E13" s="1"/>
      <c r="F13" s="1"/>
      <c r="G13" s="1"/>
      <c r="K13" s="5"/>
      <c r="L13" s="5"/>
    </row>
    <row r="14" spans="1:12" x14ac:dyDescent="0.25">
      <c r="A14" s="1"/>
      <c r="B14" s="1"/>
      <c r="C14" s="1"/>
      <c r="D14" s="1"/>
      <c r="E14" s="1"/>
      <c r="F14" s="1"/>
      <c r="G14" s="1"/>
      <c r="K14" s="5"/>
      <c r="L14" s="5"/>
    </row>
    <row r="15" spans="1:12" x14ac:dyDescent="0.25">
      <c r="A15" s="4" t="s">
        <v>9</v>
      </c>
      <c r="B15" s="1"/>
      <c r="C15" s="1"/>
      <c r="D15" s="1"/>
      <c r="E15" s="1"/>
      <c r="F15" s="1"/>
      <c r="G15" s="1"/>
      <c r="K15" s="5"/>
      <c r="L15" s="5"/>
    </row>
    <row r="16" spans="1:12" x14ac:dyDescent="0.25">
      <c r="A16" s="1"/>
      <c r="B16" s="3" t="s">
        <v>3</v>
      </c>
      <c r="C16" s="3" t="s">
        <v>2</v>
      </c>
      <c r="D16" s="3"/>
      <c r="E16" s="3"/>
      <c r="F16" s="3" t="s">
        <v>4</v>
      </c>
      <c r="G16" s="4"/>
      <c r="H16" s="3" t="s">
        <v>7</v>
      </c>
      <c r="K16" s="5"/>
      <c r="L16" s="5"/>
    </row>
    <row r="17" spans="1:12" x14ac:dyDescent="0.25">
      <c r="A17" s="1" t="s">
        <v>6</v>
      </c>
      <c r="B17" s="1">
        <v>1.2</v>
      </c>
      <c r="C17" s="1">
        <v>0.3</v>
      </c>
      <c r="D17" s="1"/>
      <c r="E17" s="1"/>
      <c r="F17" s="1">
        <v>18</v>
      </c>
      <c r="G17" s="1"/>
      <c r="H17" s="1">
        <f>F17*B17*C17</f>
        <v>6.4799999999999995</v>
      </c>
      <c r="I17">
        <v>4</v>
      </c>
      <c r="K17" s="5">
        <f>I17*H17</f>
        <v>25.919999999999998</v>
      </c>
      <c r="L17" s="5"/>
    </row>
    <row r="18" spans="1:12" x14ac:dyDescent="0.25">
      <c r="A18" s="1" t="s">
        <v>1</v>
      </c>
      <c r="B18" s="1">
        <v>1.2</v>
      </c>
      <c r="C18" s="1">
        <v>0.1666</v>
      </c>
      <c r="D18" s="1"/>
      <c r="E18" s="1"/>
      <c r="F18" s="1">
        <v>18</v>
      </c>
      <c r="G18" s="1"/>
      <c r="H18" s="1">
        <f>F18*B18*C18</f>
        <v>3.5985599999999995</v>
      </c>
      <c r="I18">
        <v>4</v>
      </c>
      <c r="K18" s="5"/>
      <c r="L18" s="5">
        <f>I18*H18</f>
        <v>14.394239999999998</v>
      </c>
    </row>
    <row r="19" spans="1:12" x14ac:dyDescent="0.25">
      <c r="A19" s="1" t="s">
        <v>5</v>
      </c>
      <c r="B19" s="1">
        <v>1.2</v>
      </c>
      <c r="C19" s="1">
        <v>2.6</v>
      </c>
      <c r="D19" s="1"/>
      <c r="E19" s="1"/>
      <c r="F19" s="1">
        <v>1</v>
      </c>
      <c r="G19" s="1"/>
      <c r="H19" s="1">
        <f>F19*B19*C19</f>
        <v>3.12</v>
      </c>
      <c r="I19">
        <v>4</v>
      </c>
      <c r="K19" s="5"/>
      <c r="L19" s="5">
        <f>I19*H19</f>
        <v>12.48</v>
      </c>
    </row>
    <row r="20" spans="1:12" x14ac:dyDescent="0.25">
      <c r="A20" s="1" t="s">
        <v>5</v>
      </c>
      <c r="B20" s="1">
        <v>1</v>
      </c>
      <c r="C20" s="1">
        <v>2.6</v>
      </c>
      <c r="D20" s="1"/>
      <c r="E20" s="1"/>
      <c r="F20" s="1">
        <v>1</v>
      </c>
      <c r="G20" s="1"/>
      <c r="H20" s="1">
        <f>F20*B20*C20</f>
        <v>2.6</v>
      </c>
      <c r="I20">
        <v>4</v>
      </c>
      <c r="K20" s="5"/>
      <c r="L20" s="5">
        <f>I20*H20</f>
        <v>10.4</v>
      </c>
    </row>
    <row r="21" spans="1:12" ht="15.75" thickBot="1" x14ac:dyDescent="0.3">
      <c r="K21" s="2" t="s">
        <v>13</v>
      </c>
      <c r="L21" s="2" t="s">
        <v>14</v>
      </c>
    </row>
    <row r="22" spans="1:12" ht="15.75" thickBot="1" x14ac:dyDescent="0.3">
      <c r="G22" s="7"/>
      <c r="H22" s="8"/>
      <c r="I22" s="9" t="s">
        <v>17</v>
      </c>
      <c r="J22" s="10"/>
      <c r="K22" s="13">
        <f>SUM(K7:K21)</f>
        <v>63.503999999999991</v>
      </c>
      <c r="L22" s="14">
        <f>SUM(L8:L21)</f>
        <v>251.94559999999996</v>
      </c>
    </row>
    <row r="25" spans="1:12" ht="18.75" x14ac:dyDescent="0.3">
      <c r="A25" s="4" t="s">
        <v>29</v>
      </c>
      <c r="B25" s="6" t="s">
        <v>15</v>
      </c>
      <c r="C25" s="1"/>
      <c r="D25" s="1"/>
      <c r="E25" s="1"/>
      <c r="F25" s="1"/>
      <c r="G25" s="1"/>
    </row>
    <row r="26" spans="1:12" x14ac:dyDescent="0.25">
      <c r="A26" s="1"/>
      <c r="B26" s="1"/>
      <c r="C26" s="1"/>
      <c r="D26" s="1"/>
      <c r="E26" s="1"/>
      <c r="F26" s="1"/>
      <c r="G26" s="1"/>
    </row>
    <row r="27" spans="1:12" x14ac:dyDescent="0.25">
      <c r="A27" s="4" t="s">
        <v>16</v>
      </c>
      <c r="B27" s="1"/>
      <c r="C27" s="1"/>
      <c r="D27" s="1"/>
      <c r="E27" s="1"/>
      <c r="F27" s="1"/>
      <c r="G27" s="1"/>
      <c r="K27" s="3" t="s">
        <v>11</v>
      </c>
      <c r="L27" s="3"/>
    </row>
    <row r="28" spans="1:12" x14ac:dyDescent="0.25">
      <c r="A28" s="1"/>
      <c r="B28" s="3" t="s">
        <v>3</v>
      </c>
      <c r="C28" s="3" t="s">
        <v>2</v>
      </c>
      <c r="D28" s="3"/>
      <c r="E28" s="3"/>
      <c r="F28" s="3" t="s">
        <v>4</v>
      </c>
      <c r="G28" s="4"/>
      <c r="H28" s="3" t="s">
        <v>12</v>
      </c>
      <c r="I28" s="3" t="s">
        <v>10</v>
      </c>
      <c r="J28" s="3"/>
      <c r="K28" s="2" t="s">
        <v>13</v>
      </c>
      <c r="L28" s="2" t="s">
        <v>14</v>
      </c>
    </row>
    <row r="29" spans="1:12" x14ac:dyDescent="0.25">
      <c r="A29" s="1" t="s">
        <v>6</v>
      </c>
      <c r="B29" s="1">
        <v>1.2</v>
      </c>
      <c r="C29" s="1">
        <v>0.3</v>
      </c>
      <c r="D29" s="1"/>
      <c r="E29" s="1"/>
      <c r="F29" s="1">
        <v>18</v>
      </c>
      <c r="G29" s="1"/>
      <c r="H29" s="1">
        <f>F29*B29*C29</f>
        <v>6.4799999999999995</v>
      </c>
      <c r="I29">
        <v>7</v>
      </c>
      <c r="K29" s="5">
        <f>I29*H29</f>
        <v>45.36</v>
      </c>
      <c r="L29" s="5"/>
    </row>
    <row r="30" spans="1:12" x14ac:dyDescent="0.25">
      <c r="A30" s="1" t="s">
        <v>1</v>
      </c>
      <c r="B30" s="1">
        <v>1.2</v>
      </c>
      <c r="C30" s="1">
        <v>0.1666</v>
      </c>
      <c r="D30" s="1"/>
      <c r="E30" s="1"/>
      <c r="F30" s="1">
        <v>18</v>
      </c>
      <c r="G30" s="1"/>
      <c r="H30" s="1">
        <f>F30*B30*C30</f>
        <v>3.5985599999999995</v>
      </c>
      <c r="I30">
        <v>7</v>
      </c>
      <c r="K30" s="5"/>
      <c r="L30" s="5">
        <f>I30*H30</f>
        <v>25.189919999999997</v>
      </c>
    </row>
    <row r="31" spans="1:12" x14ac:dyDescent="0.25">
      <c r="A31" s="1" t="s">
        <v>5</v>
      </c>
      <c r="B31" s="1">
        <v>1.2</v>
      </c>
      <c r="C31" s="1">
        <v>2.6</v>
      </c>
      <c r="D31" s="1"/>
      <c r="E31" s="1"/>
      <c r="F31" s="1">
        <v>1</v>
      </c>
      <c r="G31" s="1"/>
      <c r="H31" s="1">
        <f>F31*B31*C31</f>
        <v>3.12</v>
      </c>
      <c r="I31">
        <v>7</v>
      </c>
      <c r="K31" s="5"/>
      <c r="L31" s="5">
        <f>I31*H31</f>
        <v>21.84</v>
      </c>
    </row>
    <row r="32" spans="1:12" x14ac:dyDescent="0.25">
      <c r="A32" s="1" t="s">
        <v>27</v>
      </c>
      <c r="B32" s="1"/>
      <c r="C32" s="1"/>
      <c r="D32" s="1"/>
      <c r="E32" s="1"/>
      <c r="F32" s="1"/>
      <c r="G32" s="1"/>
      <c r="H32" s="1">
        <v>22.06</v>
      </c>
      <c r="I32">
        <v>6</v>
      </c>
      <c r="K32" s="5"/>
      <c r="L32" s="5">
        <f t="shared" ref="L32:L39" si="0">I32*H32</f>
        <v>132.35999999999999</v>
      </c>
    </row>
    <row r="33" spans="1:12" x14ac:dyDescent="0.25">
      <c r="A33" s="1" t="s">
        <v>25</v>
      </c>
      <c r="B33" s="1">
        <v>1</v>
      </c>
      <c r="C33" s="1">
        <v>35.61</v>
      </c>
      <c r="D33" s="1"/>
      <c r="E33" s="1"/>
      <c r="F33" s="1">
        <v>1</v>
      </c>
      <c r="G33" s="1"/>
      <c r="H33" s="1">
        <f>F33*B33*C33</f>
        <v>35.61</v>
      </c>
      <c r="I33">
        <v>1</v>
      </c>
      <c r="K33" s="5"/>
      <c r="L33" s="5">
        <f t="shared" si="0"/>
        <v>35.61</v>
      </c>
    </row>
    <row r="34" spans="1:12" x14ac:dyDescent="0.25">
      <c r="A34" s="1" t="s">
        <v>19</v>
      </c>
      <c r="B34" s="1">
        <v>1</v>
      </c>
      <c r="C34" s="1">
        <v>32.01</v>
      </c>
      <c r="D34" s="1"/>
      <c r="E34" s="1"/>
      <c r="F34" s="1">
        <v>1</v>
      </c>
      <c r="G34" s="1"/>
      <c r="H34" s="1">
        <f>F34*B34*C34</f>
        <v>32.01</v>
      </c>
      <c r="I34">
        <v>1</v>
      </c>
      <c r="K34" s="5"/>
      <c r="L34" s="5">
        <f t="shared" si="0"/>
        <v>32.01</v>
      </c>
    </row>
    <row r="35" spans="1:12" x14ac:dyDescent="0.25">
      <c r="A35" s="1" t="s">
        <v>26</v>
      </c>
      <c r="B35" s="1">
        <v>1</v>
      </c>
      <c r="C35" s="1">
        <v>25.61</v>
      </c>
      <c r="D35" s="1"/>
      <c r="E35" s="1"/>
      <c r="F35" s="1">
        <v>1</v>
      </c>
      <c r="G35" s="1"/>
      <c r="H35" s="1">
        <f>F35*B35*C35</f>
        <v>25.61</v>
      </c>
      <c r="I35">
        <v>1</v>
      </c>
      <c r="K35" s="5"/>
      <c r="L35" s="5">
        <f t="shared" si="0"/>
        <v>25.61</v>
      </c>
    </row>
    <row r="36" spans="1:12" x14ac:dyDescent="0.25">
      <c r="A36" s="1" t="s">
        <v>23</v>
      </c>
      <c r="B36" s="1">
        <v>1</v>
      </c>
      <c r="C36" s="1">
        <v>19.21</v>
      </c>
      <c r="D36" s="1"/>
      <c r="E36" s="1"/>
      <c r="F36" s="1">
        <v>1</v>
      </c>
      <c r="G36" s="1"/>
      <c r="H36" s="1">
        <f>F36*B36*C36</f>
        <v>19.21</v>
      </c>
      <c r="I36">
        <v>1</v>
      </c>
      <c r="K36" s="5"/>
      <c r="L36" s="5">
        <f t="shared" si="0"/>
        <v>19.21</v>
      </c>
    </row>
    <row r="37" spans="1:12" x14ac:dyDescent="0.25">
      <c r="A37" s="1" t="s">
        <v>20</v>
      </c>
      <c r="B37" s="1">
        <v>1</v>
      </c>
      <c r="C37" s="1">
        <v>9.91</v>
      </c>
      <c r="D37" s="1"/>
      <c r="E37" s="1"/>
      <c r="F37" s="1">
        <v>1</v>
      </c>
      <c r="G37" s="1"/>
      <c r="H37" s="1">
        <f>F37*B37*C37</f>
        <v>9.91</v>
      </c>
      <c r="I37">
        <v>1</v>
      </c>
      <c r="K37" s="5"/>
      <c r="L37" s="5">
        <f t="shared" si="0"/>
        <v>9.91</v>
      </c>
    </row>
    <row r="38" spans="1:12" x14ac:dyDescent="0.25">
      <c r="A38" s="1" t="s">
        <v>21</v>
      </c>
      <c r="B38" s="1">
        <v>1</v>
      </c>
      <c r="C38" s="1">
        <v>3.51</v>
      </c>
      <c r="D38" s="1"/>
      <c r="E38" s="1"/>
      <c r="F38" s="1">
        <v>1</v>
      </c>
      <c r="G38" s="1"/>
      <c r="H38" s="1">
        <f>F38*B38*C38</f>
        <v>3.51</v>
      </c>
      <c r="I38">
        <v>1</v>
      </c>
      <c r="K38" s="5"/>
      <c r="L38" s="5">
        <f t="shared" si="0"/>
        <v>3.51</v>
      </c>
    </row>
    <row r="39" spans="1:12" x14ac:dyDescent="0.25">
      <c r="A39" s="1" t="s">
        <v>28</v>
      </c>
      <c r="B39" s="1"/>
      <c r="C39" s="1"/>
      <c r="D39" s="1"/>
      <c r="E39" s="1"/>
      <c r="F39" s="1"/>
      <c r="G39" s="1"/>
      <c r="H39" s="1">
        <v>5.05</v>
      </c>
      <c r="I39">
        <v>1</v>
      </c>
      <c r="K39" s="5"/>
      <c r="L39" s="5">
        <f t="shared" si="0"/>
        <v>5.05</v>
      </c>
    </row>
    <row r="40" spans="1:12" x14ac:dyDescent="0.25">
      <c r="A40" s="1"/>
      <c r="B40" s="1"/>
      <c r="C40" s="1"/>
      <c r="D40" s="1"/>
      <c r="E40" s="1"/>
      <c r="F40" s="1"/>
      <c r="G40" s="1"/>
      <c r="K40" s="5"/>
      <c r="L40" s="5"/>
    </row>
    <row r="41" spans="1:12" x14ac:dyDescent="0.25">
      <c r="A41" s="4" t="s">
        <v>9</v>
      </c>
      <c r="B41" s="1"/>
      <c r="C41" s="1"/>
      <c r="D41" s="1"/>
      <c r="E41" s="1"/>
      <c r="F41" s="1"/>
      <c r="G41" s="1"/>
      <c r="K41" s="5"/>
      <c r="L41" s="5"/>
    </row>
    <row r="42" spans="1:12" x14ac:dyDescent="0.25">
      <c r="A42" s="1"/>
      <c r="B42" s="3" t="s">
        <v>3</v>
      </c>
      <c r="C42" s="3" t="s">
        <v>2</v>
      </c>
      <c r="D42" s="3"/>
      <c r="E42" s="3"/>
      <c r="F42" s="3" t="s">
        <v>4</v>
      </c>
      <c r="G42" s="4"/>
      <c r="H42" s="3" t="s">
        <v>7</v>
      </c>
      <c r="I42" s="3" t="s">
        <v>10</v>
      </c>
      <c r="K42" s="5"/>
      <c r="L42" s="5"/>
    </row>
    <row r="43" spans="1:12" x14ac:dyDescent="0.25">
      <c r="A43" s="1" t="s">
        <v>6</v>
      </c>
      <c r="B43" s="1">
        <v>1.2</v>
      </c>
      <c r="C43" s="1">
        <v>0.3</v>
      </c>
      <c r="D43" s="1"/>
      <c r="E43" s="1"/>
      <c r="F43" s="1">
        <v>18</v>
      </c>
      <c r="G43" s="1"/>
      <c r="H43" s="1">
        <f>F43*B43*C43</f>
        <v>6.4799999999999995</v>
      </c>
      <c r="I43">
        <v>4</v>
      </c>
      <c r="K43" s="5">
        <f>I43*H43</f>
        <v>25.919999999999998</v>
      </c>
      <c r="L43" s="5"/>
    </row>
    <row r="44" spans="1:12" x14ac:dyDescent="0.25">
      <c r="A44" s="1" t="s">
        <v>1</v>
      </c>
      <c r="B44" s="1">
        <v>1.2</v>
      </c>
      <c r="C44" s="1">
        <v>0.1666</v>
      </c>
      <c r="D44" s="1"/>
      <c r="E44" s="1"/>
      <c r="F44" s="1">
        <v>18</v>
      </c>
      <c r="G44" s="1"/>
      <c r="H44" s="1">
        <f>F44*B44*C44</f>
        <v>3.5985599999999995</v>
      </c>
      <c r="I44">
        <v>4</v>
      </c>
      <c r="K44" s="5"/>
      <c r="L44" s="5">
        <f>I44*H44</f>
        <v>14.394239999999998</v>
      </c>
    </row>
    <row r="45" spans="1:12" x14ac:dyDescent="0.25">
      <c r="A45" s="1" t="s">
        <v>5</v>
      </c>
      <c r="B45" s="1">
        <v>1.2</v>
      </c>
      <c r="C45" s="1">
        <v>1.2</v>
      </c>
      <c r="D45" s="1"/>
      <c r="E45" s="1"/>
      <c r="F45" s="1">
        <v>2</v>
      </c>
      <c r="G45" s="1"/>
      <c r="H45" s="1">
        <f>F45*B45*C45</f>
        <v>2.88</v>
      </c>
      <c r="I45">
        <v>4</v>
      </c>
      <c r="K45" s="5"/>
      <c r="L45" s="5">
        <f>I45*H45</f>
        <v>11.52</v>
      </c>
    </row>
    <row r="46" spans="1:12" x14ac:dyDescent="0.25">
      <c r="A46" s="1" t="s">
        <v>5</v>
      </c>
      <c r="B46" s="1">
        <v>1.2</v>
      </c>
      <c r="C46" s="1">
        <v>5.48</v>
      </c>
      <c r="D46" s="1"/>
      <c r="E46" s="1"/>
      <c r="F46" s="1">
        <v>1</v>
      </c>
      <c r="G46" s="1"/>
      <c r="H46" s="1">
        <f>F46*B46*C46</f>
        <v>6.5760000000000005</v>
      </c>
      <c r="I46">
        <v>4</v>
      </c>
      <c r="K46" s="5"/>
      <c r="L46" s="5">
        <f>I46*H46</f>
        <v>26.304000000000002</v>
      </c>
    </row>
    <row r="47" spans="1:12" x14ac:dyDescent="0.25">
      <c r="A47" s="1"/>
      <c r="B47" s="1"/>
      <c r="C47" s="1"/>
      <c r="D47" s="1"/>
      <c r="E47" s="1"/>
      <c r="F47" s="1"/>
      <c r="G47" s="1"/>
      <c r="K47" s="5"/>
      <c r="L47" s="5"/>
    </row>
    <row r="48" spans="1:12" x14ac:dyDescent="0.25">
      <c r="A48" s="1"/>
      <c r="B48" s="1"/>
      <c r="C48" s="1"/>
      <c r="D48" s="1"/>
      <c r="E48" s="1"/>
      <c r="F48" s="1"/>
      <c r="G48" s="1"/>
      <c r="K48" s="5"/>
      <c r="L48" s="5"/>
    </row>
    <row r="49" spans="7:12" ht="15.75" thickBot="1" x14ac:dyDescent="0.3">
      <c r="K49" s="2" t="s">
        <v>13</v>
      </c>
      <c r="L49" s="2" t="s">
        <v>14</v>
      </c>
    </row>
    <row r="50" spans="7:12" ht="15.75" thickBot="1" x14ac:dyDescent="0.3">
      <c r="G50" s="7"/>
      <c r="H50" s="8"/>
      <c r="I50" s="9" t="s">
        <v>17</v>
      </c>
      <c r="J50" s="10"/>
      <c r="K50" s="11">
        <f>SUM(K29:K49)</f>
        <v>71.28</v>
      </c>
      <c r="L50" s="12">
        <f>SUM(L30:L49)</f>
        <v>362.51815999999997</v>
      </c>
    </row>
    <row r="51" spans="7:12" ht="15.75" thickBot="1" x14ac:dyDescent="0.3"/>
    <row r="52" spans="7:12" ht="15.75" thickBot="1" x14ac:dyDescent="0.3">
      <c r="G52" s="7"/>
      <c r="H52" s="8"/>
      <c r="I52" s="9" t="s">
        <v>18</v>
      </c>
      <c r="J52" s="10"/>
      <c r="K52" s="11">
        <f>K50+K22</f>
        <v>134.78399999999999</v>
      </c>
      <c r="L52" s="12">
        <f>L50+L22</f>
        <v>614.46375999999987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2025-05-30T21:04:21Z</dcterms:modified>
</cp:coreProperties>
</file>