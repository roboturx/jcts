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m\Downloads\ilkay\calkran\"/>
    </mc:Choice>
  </mc:AlternateContent>
  <xr:revisionPtr revIDLastSave="0" documentId="13_ncr:1_{46FF5B78-6C5E-4340-9FFB-61CBEAA4DDC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7" i="1" l="1"/>
  <c r="L37" i="1" s="1"/>
  <c r="H38" i="1"/>
  <c r="K38" i="1" s="1"/>
  <c r="H30" i="1"/>
  <c r="L30" i="1" s="1"/>
  <c r="H29" i="1"/>
  <c r="L29" i="1" s="1"/>
  <c r="H28" i="1"/>
  <c r="L28" i="1" s="1"/>
  <c r="H27" i="1"/>
  <c r="K27" i="1" s="1"/>
  <c r="H40" i="1"/>
  <c r="L40" i="1" s="1"/>
  <c r="H39" i="1"/>
  <c r="L39" i="1" s="1"/>
  <c r="H36" i="1"/>
  <c r="K36" i="1" s="1"/>
  <c r="H20" i="1"/>
  <c r="L20" i="1" s="1"/>
  <c r="H19" i="1"/>
  <c r="L19" i="1" s="1"/>
  <c r="H18" i="1"/>
  <c r="L18" i="1" s="1"/>
  <c r="H17" i="1"/>
  <c r="K17" i="1" s="1"/>
  <c r="H10" i="1"/>
  <c r="L10" i="1" s="1"/>
  <c r="H9" i="1"/>
  <c r="L9" i="1" s="1"/>
  <c r="H8" i="1"/>
  <c r="L8" i="1" s="1"/>
  <c r="L44" i="1" s="1"/>
  <c r="H7" i="1"/>
  <c r="K7" i="1" s="1"/>
  <c r="K44" i="1" s="1"/>
</calcChain>
</file>

<file path=xl/sharedStrings.xml><?xml version="1.0" encoding="utf-8"?>
<sst xmlns="http://schemas.openxmlformats.org/spreadsheetml/2006/main" count="64" uniqueCount="21">
  <si>
    <t>rıht</t>
  </si>
  <si>
    <t>en</t>
  </si>
  <si>
    <t>boy</t>
  </si>
  <si>
    <t>adet</t>
  </si>
  <si>
    <t>sahanlık</t>
  </si>
  <si>
    <t>basamak</t>
  </si>
  <si>
    <t>set</t>
  </si>
  <si>
    <t>toplam m2</t>
  </si>
  <si>
    <t>kat m2</t>
  </si>
  <si>
    <t>3 cm</t>
  </si>
  <si>
    <t>2 cm</t>
  </si>
  <si>
    <t>erzurum calıkıran</t>
  </si>
  <si>
    <t>bodrum</t>
  </si>
  <si>
    <t>zemin</t>
  </si>
  <si>
    <t>kat 1</t>
  </si>
  <si>
    <t>MERDİVEN : (17x17,64/27)</t>
  </si>
  <si>
    <t>MERDİVEN : (20x17,50/27)</t>
  </si>
  <si>
    <t>MERDİVEN : (18x16,66/27)</t>
  </si>
  <si>
    <t>MERDİVEN : (20x17,50/27) dönerli</t>
  </si>
  <si>
    <t>kat 1-2-3</t>
  </si>
  <si>
    <t>basamak döner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</si>
</sst>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b/>
      <sz val="14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">
    <xf numFmtId="0" fontId="0" fillId="0" borderId="0" xfId="0"/>
    <xf numFmtId="2" fontId="0" fillId="0" borderId="0" xfId="0" applyNumberFormat="1"/>
    <xf numFmtId="0" fontId="2" fillId="0" borderId="0" xfId="0" applyFont="1" applyAlignment="1">
      <alignment horizontal="right"/>
    </xf>
    <xf numFmtId="2" fontId="2" fillId="0" borderId="0" xfId="0" applyNumberFormat="1" applyFont="1" applyAlignment="1">
      <alignment horizontal="right"/>
    </xf>
    <xf numFmtId="2" fontId="2" fillId="0" borderId="0" xfId="0" applyNumberFormat="1" applyFont="1"/>
    <xf numFmtId="43" fontId="0" fillId="0" borderId="0" xfId="1" applyFont="1"/>
    <xf numFmtId="2" fontId="3" fillId="0" borderId="0" xfId="0" applyNumberFormat="1" applyFont="1"/>
    <xf numFmtId="0" fontId="0" fillId="0" borderId="1" xfId="0" applyBorder="1"/>
    <xf numFmtId="2" fontId="0" fillId="0" borderId="2" xfId="0" applyNumberFormat="1" applyBorder="1"/>
    <xf numFmtId="0" fontId="2" fillId="0" borderId="2" xfId="0" applyFont="1" applyBorder="1" applyAlignment="1">
      <alignment horizontal="right"/>
    </xf>
    <xf numFmtId="0" fontId="0" fillId="0" borderId="2" xfId="0" applyBorder="1"/>
    <xf numFmtId="43" fontId="0" fillId="0" borderId="2" xfId="0" applyNumberFormat="1" applyBorder="1"/>
  </cellXfs>
  <cellStyles count="2">
    <cellStyle name="Normal" xfId="0" builtinId="0"/>
    <cellStyle name="Virgül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L44"/>
  <sheetViews>
    <sheetView tabSelected="1" topLeftCell="A21" zoomScale="145" zoomScaleNormal="145" workbookViewId="0">
      <selection activeCell="A42" sqref="A42:XFD42"/>
    </sheetView>
  </sheetViews>
  <sheetFormatPr defaultRowHeight="15" x14ac:dyDescent="0.25"/>
  <cols>
    <col min="1" max="1" width="15.85546875" customWidth="1"/>
    <col min="5" max="5" width="2" customWidth="1"/>
    <col min="6" max="6" width="5.7109375" bestFit="1" customWidth="1"/>
    <col min="7" max="7" width="2.7109375" customWidth="1"/>
    <col min="8" max="8" width="6.85546875" style="1" bestFit="1" customWidth="1"/>
    <col min="9" max="9" width="6.42578125" customWidth="1"/>
    <col min="10" max="10" width="2.140625" customWidth="1"/>
    <col min="11" max="11" width="11" customWidth="1"/>
  </cols>
  <sheetData>
    <row r="3" spans="1:12" ht="18.75" x14ac:dyDescent="0.3">
      <c r="A3" s="4" t="s">
        <v>11</v>
      </c>
      <c r="C3" s="6" t="s">
        <v>12</v>
      </c>
      <c r="D3" s="1"/>
      <c r="E3" s="1"/>
      <c r="F3" s="1"/>
      <c r="G3" s="1"/>
    </row>
    <row r="4" spans="1:12" x14ac:dyDescent="0.25">
      <c r="A4" s="1"/>
      <c r="B4" s="1"/>
      <c r="C4" s="1"/>
      <c r="D4" s="1"/>
      <c r="E4" s="1"/>
      <c r="F4" s="1"/>
      <c r="G4" s="1"/>
    </row>
    <row r="5" spans="1:12" x14ac:dyDescent="0.25">
      <c r="A5" s="4" t="s">
        <v>17</v>
      </c>
      <c r="B5" s="1"/>
      <c r="C5" s="1"/>
      <c r="D5" s="1"/>
      <c r="E5" s="1"/>
      <c r="F5" s="1"/>
      <c r="G5" s="1"/>
      <c r="K5" s="3" t="s">
        <v>7</v>
      </c>
      <c r="L5" s="3"/>
    </row>
    <row r="6" spans="1:12" x14ac:dyDescent="0.25">
      <c r="A6" s="1"/>
      <c r="B6" s="3" t="s">
        <v>2</v>
      </c>
      <c r="C6" s="3" t="s">
        <v>1</v>
      </c>
      <c r="D6" s="3"/>
      <c r="E6" s="3"/>
      <c r="F6" s="3" t="s">
        <v>3</v>
      </c>
      <c r="G6" s="4"/>
      <c r="H6" s="3" t="s">
        <v>8</v>
      </c>
      <c r="I6" s="3" t="s">
        <v>6</v>
      </c>
      <c r="J6" s="3"/>
      <c r="K6" s="2" t="s">
        <v>9</v>
      </c>
      <c r="L6" s="2" t="s">
        <v>10</v>
      </c>
    </row>
    <row r="7" spans="1:12" x14ac:dyDescent="0.25">
      <c r="A7" s="1" t="s">
        <v>5</v>
      </c>
      <c r="B7" s="1">
        <v>1.2</v>
      </c>
      <c r="C7" s="1">
        <v>0.3</v>
      </c>
      <c r="D7" s="1"/>
      <c r="E7" s="1"/>
      <c r="F7" s="1">
        <v>18</v>
      </c>
      <c r="G7" s="1"/>
      <c r="H7" s="1">
        <f t="shared" ref="H7:H9" si="0">F7*B7*C7</f>
        <v>6.4799999999999995</v>
      </c>
      <c r="I7">
        <v>1</v>
      </c>
      <c r="K7" s="5">
        <f>I7*H7</f>
        <v>6.4799999999999995</v>
      </c>
      <c r="L7" s="5"/>
    </row>
    <row r="8" spans="1:12" x14ac:dyDescent="0.25">
      <c r="A8" s="1" t="s">
        <v>0</v>
      </c>
      <c r="B8" s="1">
        <v>1.2</v>
      </c>
      <c r="C8" s="1">
        <v>0.1666</v>
      </c>
      <c r="D8" s="1"/>
      <c r="E8" s="1"/>
      <c r="F8" s="1">
        <v>18</v>
      </c>
      <c r="G8" s="1"/>
      <c r="H8" s="1">
        <f t="shared" si="0"/>
        <v>3.5985599999999995</v>
      </c>
      <c r="I8">
        <v>1</v>
      </c>
      <c r="K8" s="5"/>
      <c r="L8" s="5">
        <f>I8*H8</f>
        <v>3.5985599999999995</v>
      </c>
    </row>
    <row r="9" spans="1:12" x14ac:dyDescent="0.25">
      <c r="A9" s="1" t="s">
        <v>4</v>
      </c>
      <c r="B9" s="1">
        <v>1.3</v>
      </c>
      <c r="C9" s="1">
        <v>1.34</v>
      </c>
      <c r="D9" s="1"/>
      <c r="E9" s="1"/>
      <c r="F9" s="1">
        <v>1</v>
      </c>
      <c r="G9" s="1"/>
      <c r="H9" s="1">
        <f t="shared" si="0"/>
        <v>1.7420000000000002</v>
      </c>
      <c r="I9">
        <v>1</v>
      </c>
      <c r="K9" s="5"/>
      <c r="L9" s="5">
        <f>I9*H9</f>
        <v>1.7420000000000002</v>
      </c>
    </row>
    <row r="10" spans="1:12" x14ac:dyDescent="0.25">
      <c r="A10" s="1" t="s">
        <v>4</v>
      </c>
      <c r="B10" s="1">
        <v>1.47</v>
      </c>
      <c r="C10" s="1">
        <v>1.34</v>
      </c>
      <c r="D10" s="1"/>
      <c r="E10" s="1"/>
      <c r="F10" s="1">
        <v>1</v>
      </c>
      <c r="G10" s="1"/>
      <c r="H10" s="1">
        <f t="shared" ref="H10" si="1">F10*B10*C10</f>
        <v>1.9698</v>
      </c>
      <c r="I10">
        <v>1</v>
      </c>
      <c r="K10" s="5"/>
      <c r="L10" s="5">
        <f>I10*H10</f>
        <v>1.9698</v>
      </c>
    </row>
    <row r="11" spans="1:12" x14ac:dyDescent="0.25">
      <c r="A11" s="1"/>
      <c r="B11" s="1"/>
      <c r="C11" s="1"/>
      <c r="D11" s="1"/>
      <c r="E11" s="1"/>
      <c r="F11" s="1"/>
      <c r="G11" s="1"/>
      <c r="K11" s="5"/>
      <c r="L11" s="5"/>
    </row>
    <row r="13" spans="1:12" ht="18.75" x14ac:dyDescent="0.3">
      <c r="A13" s="4" t="s">
        <v>11</v>
      </c>
      <c r="C13" s="6" t="s">
        <v>13</v>
      </c>
      <c r="D13" s="1"/>
      <c r="E13" s="1"/>
      <c r="F13" s="1"/>
      <c r="G13" s="1"/>
    </row>
    <row r="14" spans="1:12" x14ac:dyDescent="0.25">
      <c r="A14" s="1"/>
      <c r="B14" s="1"/>
      <c r="C14" s="1"/>
      <c r="D14" s="1"/>
      <c r="E14" s="1"/>
      <c r="F14" s="1"/>
      <c r="G14" s="1"/>
    </row>
    <row r="15" spans="1:12" x14ac:dyDescent="0.25">
      <c r="A15" s="4" t="s">
        <v>16</v>
      </c>
      <c r="B15" s="1"/>
      <c r="C15" s="1"/>
      <c r="D15" s="1"/>
      <c r="E15" s="1"/>
      <c r="F15" s="1"/>
      <c r="G15" s="1"/>
      <c r="K15" s="3" t="s">
        <v>7</v>
      </c>
      <c r="L15" s="3"/>
    </row>
    <row r="16" spans="1:12" x14ac:dyDescent="0.25">
      <c r="A16" s="1"/>
      <c r="B16" s="3" t="s">
        <v>2</v>
      </c>
      <c r="C16" s="3" t="s">
        <v>1</v>
      </c>
      <c r="D16" s="3"/>
      <c r="E16" s="3"/>
      <c r="F16" s="3" t="s">
        <v>3</v>
      </c>
      <c r="G16" s="4"/>
      <c r="H16" s="3" t="s">
        <v>8</v>
      </c>
      <c r="I16" s="3" t="s">
        <v>6</v>
      </c>
      <c r="J16" s="3"/>
      <c r="K16" s="2" t="s">
        <v>9</v>
      </c>
      <c r="L16" s="2" t="s">
        <v>10</v>
      </c>
    </row>
    <row r="17" spans="1:12" x14ac:dyDescent="0.25">
      <c r="A17" s="1" t="s">
        <v>5</v>
      </c>
      <c r="B17" s="1">
        <v>1.2</v>
      </c>
      <c r="C17" s="1">
        <v>0.3</v>
      </c>
      <c r="D17" s="1"/>
      <c r="E17" s="1"/>
      <c r="F17" s="1">
        <v>20</v>
      </c>
      <c r="G17" s="1"/>
      <c r="H17" s="1">
        <f t="shared" ref="H17:H21" si="2">F17*B17*C17</f>
        <v>7.1999999999999993</v>
      </c>
      <c r="I17">
        <v>1</v>
      </c>
      <c r="K17" s="5">
        <f>I17*H17</f>
        <v>7.1999999999999993</v>
      </c>
      <c r="L17" s="5"/>
    </row>
    <row r="18" spans="1:12" x14ac:dyDescent="0.25">
      <c r="A18" s="1" t="s">
        <v>0</v>
      </c>
      <c r="B18" s="1">
        <v>1.2</v>
      </c>
      <c r="C18" s="1">
        <v>0.1666</v>
      </c>
      <c r="D18" s="1"/>
      <c r="E18" s="1"/>
      <c r="F18" s="1">
        <v>20</v>
      </c>
      <c r="G18" s="1"/>
      <c r="H18" s="1">
        <f t="shared" si="2"/>
        <v>3.9984000000000002</v>
      </c>
      <c r="I18">
        <v>1</v>
      </c>
      <c r="K18" s="5"/>
      <c r="L18" s="5">
        <f>I18*H18</f>
        <v>3.9984000000000002</v>
      </c>
    </row>
    <row r="19" spans="1:12" x14ac:dyDescent="0.25">
      <c r="A19" s="1" t="s">
        <v>4</v>
      </c>
      <c r="B19" s="1">
        <v>1.3</v>
      </c>
      <c r="C19" s="1">
        <v>1.24</v>
      </c>
      <c r="D19" s="1"/>
      <c r="E19" s="1"/>
      <c r="F19" s="1">
        <v>1</v>
      </c>
      <c r="G19" s="1"/>
      <c r="H19" s="1">
        <f t="shared" si="2"/>
        <v>1.6120000000000001</v>
      </c>
      <c r="I19">
        <v>1</v>
      </c>
      <c r="K19" s="5"/>
      <c r="L19" s="5">
        <f>I19*H19</f>
        <v>1.6120000000000001</v>
      </c>
    </row>
    <row r="20" spans="1:12" x14ac:dyDescent="0.25">
      <c r="A20" s="1" t="s">
        <v>4</v>
      </c>
      <c r="B20" s="1">
        <v>1.25</v>
      </c>
      <c r="C20" s="1">
        <v>1.22</v>
      </c>
      <c r="D20" s="1"/>
      <c r="E20" s="1"/>
      <c r="F20" s="1">
        <v>1</v>
      </c>
      <c r="G20" s="1"/>
      <c r="H20" s="1">
        <f t="shared" si="2"/>
        <v>1.5249999999999999</v>
      </c>
      <c r="I20">
        <v>1</v>
      </c>
      <c r="K20" s="5"/>
      <c r="L20" s="5">
        <f>I20*H20</f>
        <v>1.5249999999999999</v>
      </c>
    </row>
    <row r="21" spans="1:12" x14ac:dyDescent="0.25">
      <c r="A21" s="1"/>
      <c r="B21" s="1"/>
      <c r="C21" s="1"/>
      <c r="D21" s="1"/>
      <c r="E21" s="1"/>
      <c r="F21" s="1"/>
      <c r="G21" s="1"/>
      <c r="K21" s="5"/>
      <c r="L21" s="5"/>
    </row>
    <row r="22" spans="1:12" x14ac:dyDescent="0.25">
      <c r="A22" s="1"/>
      <c r="B22" s="1"/>
      <c r="C22" s="1"/>
      <c r="D22" s="1"/>
      <c r="E22" s="1"/>
      <c r="F22" s="1"/>
      <c r="G22" s="1"/>
      <c r="K22" s="5"/>
      <c r="L22" s="5"/>
    </row>
    <row r="23" spans="1:12" ht="18.75" x14ac:dyDescent="0.3">
      <c r="A23" s="4" t="s">
        <v>11</v>
      </c>
      <c r="C23" s="6" t="s">
        <v>14</v>
      </c>
      <c r="D23" s="1"/>
      <c r="E23" s="1"/>
      <c r="F23" s="1"/>
      <c r="G23" s="1"/>
    </row>
    <row r="24" spans="1:12" x14ac:dyDescent="0.25">
      <c r="A24" s="1"/>
      <c r="B24" s="1"/>
      <c r="C24" s="1"/>
      <c r="D24" s="1"/>
      <c r="E24" s="1"/>
      <c r="F24" s="1"/>
      <c r="G24" s="1"/>
      <c r="K24" s="5"/>
      <c r="L24" s="5"/>
    </row>
    <row r="25" spans="1:12" x14ac:dyDescent="0.25">
      <c r="A25" s="4" t="s">
        <v>15</v>
      </c>
      <c r="B25" s="1"/>
      <c r="C25" s="1"/>
      <c r="D25" s="1"/>
      <c r="E25" s="1"/>
      <c r="F25" s="1"/>
      <c r="G25" s="1"/>
      <c r="K25" s="3" t="s">
        <v>7</v>
      </c>
      <c r="L25" s="3"/>
    </row>
    <row r="26" spans="1:12" x14ac:dyDescent="0.25">
      <c r="A26" s="1"/>
      <c r="B26" s="3" t="s">
        <v>2</v>
      </c>
      <c r="C26" s="3" t="s">
        <v>1</v>
      </c>
      <c r="D26" s="3"/>
      <c r="E26" s="3"/>
      <c r="F26" s="3" t="s">
        <v>3</v>
      </c>
      <c r="G26" s="4"/>
      <c r="H26" s="3" t="s">
        <v>8</v>
      </c>
      <c r="I26" s="3" t="s">
        <v>6</v>
      </c>
      <c r="J26" s="3"/>
      <c r="K26" s="2" t="s">
        <v>9</v>
      </c>
      <c r="L26" s="2" t="s">
        <v>10</v>
      </c>
    </row>
    <row r="27" spans="1:12" x14ac:dyDescent="0.25">
      <c r="A27" s="1" t="s">
        <v>5</v>
      </c>
      <c r="B27" s="1">
        <v>1.2</v>
      </c>
      <c r="C27" s="1">
        <v>0.3</v>
      </c>
      <c r="D27" s="1"/>
      <c r="E27" s="1"/>
      <c r="F27" s="1">
        <v>20</v>
      </c>
      <c r="G27" s="1"/>
      <c r="H27" s="1">
        <f t="shared" ref="H27:H30" si="3">F27*B27*C27</f>
        <v>7.1999999999999993</v>
      </c>
      <c r="I27">
        <v>1</v>
      </c>
      <c r="K27" s="5">
        <f>I27*H27</f>
        <v>7.1999999999999993</v>
      </c>
      <c r="L27" s="5"/>
    </row>
    <row r="28" spans="1:12" x14ac:dyDescent="0.25">
      <c r="A28" s="1" t="s">
        <v>0</v>
      </c>
      <c r="B28" s="1">
        <v>1.2</v>
      </c>
      <c r="C28" s="1">
        <v>0.1666</v>
      </c>
      <c r="D28" s="1"/>
      <c r="E28" s="1"/>
      <c r="F28" s="1">
        <v>20</v>
      </c>
      <c r="G28" s="1"/>
      <c r="H28" s="1">
        <f t="shared" si="3"/>
        <v>3.9984000000000002</v>
      </c>
      <c r="I28">
        <v>1</v>
      </c>
      <c r="K28" s="5"/>
      <c r="L28" s="5">
        <f>I28*H28</f>
        <v>3.9984000000000002</v>
      </c>
    </row>
    <row r="29" spans="1:12" x14ac:dyDescent="0.25">
      <c r="A29" s="1" t="s">
        <v>4</v>
      </c>
      <c r="B29" s="1">
        <v>1.3</v>
      </c>
      <c r="C29" s="1">
        <v>1.24</v>
      </c>
      <c r="D29" s="1"/>
      <c r="E29" s="1"/>
      <c r="F29" s="1">
        <v>1</v>
      </c>
      <c r="G29" s="1"/>
      <c r="H29" s="1">
        <f t="shared" si="3"/>
        <v>1.6120000000000001</v>
      </c>
      <c r="I29">
        <v>1</v>
      </c>
      <c r="K29" s="5"/>
      <c r="L29" s="5">
        <f>I29*H29</f>
        <v>1.6120000000000001</v>
      </c>
    </row>
    <row r="30" spans="1:12" x14ac:dyDescent="0.25">
      <c r="A30" s="1" t="s">
        <v>4</v>
      </c>
      <c r="B30" s="1">
        <v>1.25</v>
      </c>
      <c r="C30" s="1">
        <v>1.22</v>
      </c>
      <c r="D30" s="1"/>
      <c r="E30" s="1"/>
      <c r="F30" s="1">
        <v>1</v>
      </c>
      <c r="G30" s="1"/>
      <c r="H30" s="1">
        <f t="shared" si="3"/>
        <v>1.5249999999999999</v>
      </c>
      <c r="I30">
        <v>1</v>
      </c>
      <c r="K30" s="5"/>
      <c r="L30" s="5">
        <f>I30*H30</f>
        <v>1.5249999999999999</v>
      </c>
    </row>
    <row r="31" spans="1:12" x14ac:dyDescent="0.25">
      <c r="A31" s="1"/>
      <c r="B31" s="1"/>
      <c r="C31" s="1"/>
      <c r="D31" s="1"/>
      <c r="E31" s="1"/>
      <c r="F31" s="1"/>
      <c r="G31" s="1"/>
      <c r="K31" s="5"/>
      <c r="L31" s="5"/>
    </row>
    <row r="32" spans="1:12" ht="18.75" x14ac:dyDescent="0.3">
      <c r="A32" s="4" t="s">
        <v>11</v>
      </c>
      <c r="C32" s="6" t="s">
        <v>19</v>
      </c>
      <c r="D32" s="1"/>
      <c r="E32" s="1"/>
      <c r="F32" s="1"/>
      <c r="G32" s="1"/>
      <c r="K32" s="5"/>
      <c r="L32" s="5"/>
    </row>
    <row r="33" spans="1:12" x14ac:dyDescent="0.25">
      <c r="A33" s="1"/>
      <c r="B33" s="1"/>
      <c r="C33" s="1"/>
      <c r="D33" s="1"/>
      <c r="E33" s="1"/>
      <c r="F33" s="1"/>
      <c r="G33" s="1"/>
      <c r="K33" s="5"/>
      <c r="L33" s="5"/>
    </row>
    <row r="34" spans="1:12" x14ac:dyDescent="0.25">
      <c r="A34" s="4" t="s">
        <v>18</v>
      </c>
      <c r="B34" s="1"/>
      <c r="C34" s="1"/>
      <c r="D34" s="1"/>
      <c r="E34" s="1"/>
      <c r="F34" s="1"/>
      <c r="G34" s="1"/>
      <c r="K34" s="3" t="s">
        <v>7</v>
      </c>
      <c r="L34" s="3"/>
    </row>
    <row r="35" spans="1:12" x14ac:dyDescent="0.25">
      <c r="A35" s="1"/>
      <c r="B35" s="3" t="s">
        <v>2</v>
      </c>
      <c r="C35" s="3" t="s">
        <v>1</v>
      </c>
      <c r="D35" s="3"/>
      <c r="E35" s="3"/>
      <c r="F35" s="3" t="s">
        <v>3</v>
      </c>
      <c r="G35" s="4"/>
      <c r="H35" s="3" t="s">
        <v>8</v>
      </c>
      <c r="I35" s="3" t="s">
        <v>6</v>
      </c>
      <c r="J35" s="3"/>
      <c r="K35" s="2" t="s">
        <v>9</v>
      </c>
      <c r="L35" s="2" t="s">
        <v>10</v>
      </c>
    </row>
    <row r="36" spans="1:12" x14ac:dyDescent="0.25">
      <c r="A36" s="1" t="s">
        <v>5</v>
      </c>
      <c r="B36" s="1">
        <v>1.2</v>
      </c>
      <c r="C36" s="1">
        <v>0.3</v>
      </c>
      <c r="D36" s="1"/>
      <c r="E36" s="1"/>
      <c r="F36" s="1">
        <v>11</v>
      </c>
      <c r="G36" s="1"/>
      <c r="H36" s="1">
        <f t="shared" ref="H36:H40" si="4">F36*B36*C36</f>
        <v>3.9599999999999995</v>
      </c>
      <c r="I36">
        <v>3</v>
      </c>
      <c r="K36" s="5">
        <f>I36*H36</f>
        <v>11.879999999999999</v>
      </c>
      <c r="L36" s="5"/>
    </row>
    <row r="37" spans="1:12" x14ac:dyDescent="0.25">
      <c r="A37" s="1" t="s">
        <v>0</v>
      </c>
      <c r="B37" s="1">
        <v>1.2</v>
      </c>
      <c r="C37" s="1">
        <v>0.1666</v>
      </c>
      <c r="D37" s="1"/>
      <c r="E37" s="1"/>
      <c r="F37" s="1">
        <v>11</v>
      </c>
      <c r="G37" s="1"/>
      <c r="H37" s="1">
        <f t="shared" ref="H37" si="5">F37*B37*C37</f>
        <v>2.1991199999999997</v>
      </c>
      <c r="I37">
        <v>3</v>
      </c>
      <c r="K37" s="5"/>
      <c r="L37" s="5">
        <f>I37*H37</f>
        <v>6.5973599999999992</v>
      </c>
    </row>
    <row r="38" spans="1:12" x14ac:dyDescent="0.25">
      <c r="A38" s="1" t="s">
        <v>20</v>
      </c>
      <c r="B38" s="1">
        <v>1.42</v>
      </c>
      <c r="C38" s="1">
        <v>0.3</v>
      </c>
      <c r="D38" s="1"/>
      <c r="E38" s="1"/>
      <c r="F38" s="1">
        <v>6</v>
      </c>
      <c r="G38" s="1"/>
      <c r="H38" s="1">
        <f t="shared" ref="H38" si="6">F38*B38*C38</f>
        <v>2.5559999999999996</v>
      </c>
      <c r="I38">
        <v>3</v>
      </c>
      <c r="K38" s="5">
        <f>I38*H38</f>
        <v>7.6679999999999993</v>
      </c>
      <c r="L38" s="5"/>
    </row>
    <row r="39" spans="1:12" x14ac:dyDescent="0.25">
      <c r="A39" s="1" t="s">
        <v>0</v>
      </c>
      <c r="B39" s="1">
        <v>1.42</v>
      </c>
      <c r="C39" s="1">
        <v>0.1666</v>
      </c>
      <c r="D39" s="1"/>
      <c r="E39" s="1"/>
      <c r="F39" s="1">
        <v>6</v>
      </c>
      <c r="G39" s="1"/>
      <c r="H39" s="1">
        <f t="shared" si="4"/>
        <v>1.4194319999999998</v>
      </c>
      <c r="I39">
        <v>3</v>
      </c>
      <c r="K39" s="5"/>
      <c r="L39" s="5">
        <f>I39*H39</f>
        <v>4.2582959999999996</v>
      </c>
    </row>
    <row r="40" spans="1:12" x14ac:dyDescent="0.25">
      <c r="A40" s="1" t="s">
        <v>4</v>
      </c>
      <c r="B40" s="1">
        <v>1</v>
      </c>
      <c r="C40" s="1">
        <v>2</v>
      </c>
      <c r="D40" s="1"/>
      <c r="E40" s="1"/>
      <c r="F40" s="1">
        <v>1</v>
      </c>
      <c r="G40" s="1"/>
      <c r="H40" s="1">
        <f t="shared" si="4"/>
        <v>2</v>
      </c>
      <c r="I40">
        <v>3</v>
      </c>
      <c r="K40" s="5"/>
      <c r="L40" s="5">
        <f>I40*H40</f>
        <v>6</v>
      </c>
    </row>
    <row r="41" spans="1:12" x14ac:dyDescent="0.25">
      <c r="A41" s="1"/>
      <c r="B41" s="1"/>
      <c r="C41" s="1"/>
      <c r="D41" s="1"/>
      <c r="E41" s="1"/>
      <c r="F41" s="1"/>
      <c r="G41" s="1"/>
      <c r="K41" s="5"/>
      <c r="L41" s="5"/>
    </row>
    <row r="42" spans="1:12" x14ac:dyDescent="0.25">
      <c r="A42" s="1"/>
      <c r="B42" s="1"/>
      <c r="C42" s="1"/>
      <c r="D42" s="1"/>
      <c r="E42" s="1"/>
      <c r="F42" s="1"/>
      <c r="G42" s="1"/>
      <c r="K42" s="3" t="s">
        <v>7</v>
      </c>
      <c r="L42" s="3"/>
    </row>
    <row r="43" spans="1:12" ht="15.75" thickBot="1" x14ac:dyDescent="0.3">
      <c r="A43" s="1"/>
      <c r="B43" s="1"/>
      <c r="C43" s="1"/>
      <c r="D43" s="1"/>
      <c r="E43" s="1"/>
      <c r="F43" s="1"/>
      <c r="G43" s="1"/>
      <c r="K43" s="2" t="s">
        <v>9</v>
      </c>
      <c r="L43" s="2" t="s">
        <v>10</v>
      </c>
    </row>
    <row r="44" spans="1:12" ht="15.75" thickBot="1" x14ac:dyDescent="0.3">
      <c r="G44" s="7"/>
      <c r="H44" s="8"/>
      <c r="I44" s="9"/>
      <c r="J44" s="10"/>
      <c r="K44" s="11">
        <f>SUM(K7:K43)</f>
        <v>40.427999999999997</v>
      </c>
      <c r="L44" s="11">
        <f>SUM(L7:L43)</f>
        <v>38.436815999999993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</dc:creator>
  <cp:lastModifiedBy>m</cp:lastModifiedBy>
  <dcterms:created xsi:type="dcterms:W3CDTF">2015-06-05T18:19:34Z</dcterms:created>
  <dcterms:modified xsi:type="dcterms:W3CDTF">2025-06-11T21:07:44Z</dcterms:modified>
</cp:coreProperties>
</file>