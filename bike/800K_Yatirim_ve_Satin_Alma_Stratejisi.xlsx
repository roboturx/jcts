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ratejik Özet" sheetId="1" state="visible" r:id="rId1"/>
    <sheet xmlns:r="http://schemas.openxmlformats.org/officeDocument/2006/relationships" name="Önerilen Yatırım Portföyü" sheetId="2" state="visible" r:id="rId2"/>
    <sheet xmlns:r="http://schemas.openxmlformats.org/officeDocument/2006/relationships" name="Nakit Akış Simülasyonu" sheetId="3" state="visible" r:id="rId3"/>
  </sheets>
  <definedNames/>
  <calcPr calcId="124519" fullCalcOnLoad="1"/>
</workbook>
</file>

<file path=xl/styles.xml><?xml version="1.0" encoding="utf-8"?>
<styleSheet xmlns="http://schemas.openxmlformats.org/spreadsheetml/2006/main">
  <numFmts count="2">
    <numFmt numFmtId="164" formatCode="#,##0&quot; TL&quot;"/>
    <numFmt numFmtId="165" formatCode="0.0%"/>
  </numFmts>
  <fonts count="8">
    <font>
      <name val="Calibri"/>
      <family val="2"/>
      <color theme="1"/>
      <sz val="11"/>
      <scheme val="minor"/>
    </font>
    <font>
      <name val="Arial"/>
      <b val="1"/>
      <color rgb="001B365D"/>
      <sz val="16"/>
    </font>
    <font>
      <name val="Arial"/>
      <i val="1"/>
      <color rgb="00555555"/>
      <sz val="11"/>
    </font>
    <font>
      <name val="Arial"/>
      <sz val="11"/>
    </font>
    <font>
      <name val="Arial"/>
      <b val="1"/>
      <color rgb="001B365D"/>
      <sz val="11"/>
    </font>
    <font>
      <name val="Arial"/>
      <b val="1"/>
      <sz val="11"/>
    </font>
    <font>
      <name val="Arial"/>
      <b val="1"/>
      <color rgb="00FFFFFF"/>
      <sz val="11"/>
    </font>
    <font>
      <name val="Arial"/>
      <i val="1"/>
      <color rgb="00666666"/>
      <sz val="9"/>
    </font>
  </fonts>
  <fills count="5">
    <fill>
      <patternFill/>
    </fill>
    <fill>
      <patternFill patternType="gray125"/>
    </fill>
    <fill>
      <patternFill patternType="solid">
        <fgColor rgb="001B365D"/>
        <bgColor rgb="001B365D"/>
      </patternFill>
    </fill>
    <fill>
      <patternFill patternType="solid">
        <fgColor rgb="00F9FBFD"/>
        <bgColor rgb="00F9FBFD"/>
      </patternFill>
    </fill>
    <fill>
      <patternFill patternType="solid">
        <fgColor rgb="00E6F4EA"/>
        <bgColor rgb="00E6F4EA"/>
      </patternFill>
    </fill>
  </fills>
  <borders count="3">
    <border>
      <left/>
      <right/>
      <top/>
      <bottom/>
      <diagonal/>
    </border>
    <border>
      <left style="thin">
        <color rgb="00D3D3D3"/>
      </left>
      <right style="thin">
        <color rgb="00D3D3D3"/>
      </right>
      <top style="thin">
        <color rgb="00D3D3D3"/>
      </top>
      <bottom style="thin">
        <color rgb="00D3D3D3"/>
      </bottom>
    </border>
    <border>
      <left style="thin">
        <color rgb="00D3D3D3"/>
      </left>
      <right style="thin">
        <color rgb="00D3D3D3"/>
      </right>
      <top style="thin">
        <color rgb="00D3D3D3"/>
      </top>
      <bottom style="double">
        <color rgb="001B365D"/>
      </bottom>
    </border>
  </borders>
  <cellStyleXfs count="1">
    <xf numFmtId="0" fontId="0" fillId="0" borderId="0"/>
  </cellStyleXfs>
  <cellXfs count="37">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3" fillId="0" borderId="1" pivotButton="0" quotePrefix="0" xfId="0"/>
    <xf numFmtId="164" fontId="5" fillId="0" borderId="1" applyAlignment="1" pivotButton="0" quotePrefix="0" xfId="0">
      <alignment horizontal="right" vertical="center"/>
    </xf>
    <xf numFmtId="165" fontId="5" fillId="0" borderId="1" applyAlignment="1" pivotButton="0" quotePrefix="0" xfId="0">
      <alignment horizontal="right" vertical="center"/>
    </xf>
    <xf numFmtId="10" fontId="5" fillId="0" borderId="1" applyAlignment="1" pivotButton="0" quotePrefix="0" xfId="0">
      <alignment horizontal="right" vertical="center"/>
    </xf>
    <xf numFmtId="1" fontId="5" fillId="0" borderId="1" applyAlignment="1" pivotButton="0" quotePrefix="0" xfId="0">
      <alignment horizontal="right" vertical="center"/>
    </xf>
    <xf numFmtId="0" fontId="6" fillId="2" borderId="1" applyAlignment="1" pivotButton="0" quotePrefix="0" xfId="0">
      <alignment horizontal="center" vertical="center" wrapText="1"/>
    </xf>
    <xf numFmtId="0" fontId="5" fillId="0" borderId="1" pivotButton="0" quotePrefix="0" xfId="0"/>
    <xf numFmtId="165" fontId="3" fillId="0" borderId="1" applyAlignment="1" pivotButton="0" quotePrefix="0" xfId="0">
      <alignment horizontal="right" vertical="center"/>
    </xf>
    <xf numFmtId="164" fontId="3" fillId="0" borderId="1" applyAlignment="1" pivotButton="0" quotePrefix="0" xfId="0">
      <alignment horizontal="right" vertical="center"/>
    </xf>
    <xf numFmtId="0" fontId="7" fillId="0" borderId="1" pivotButton="0" quotePrefix="0" xfId="0"/>
    <xf numFmtId="0" fontId="5" fillId="3" borderId="1" pivotButton="0" quotePrefix="0" xfId="0"/>
    <xf numFmtId="0" fontId="3" fillId="3" borderId="1" pivotButton="0" quotePrefix="0" xfId="0"/>
    <xf numFmtId="165" fontId="3" fillId="3" borderId="1" applyAlignment="1" pivotButton="0" quotePrefix="0" xfId="0">
      <alignment horizontal="right" vertical="center"/>
    </xf>
    <xf numFmtId="164" fontId="3" fillId="3" borderId="1" applyAlignment="1" pivotButton="0" quotePrefix="0" xfId="0">
      <alignment horizontal="right" vertical="center"/>
    </xf>
    <xf numFmtId="164" fontId="5" fillId="3" borderId="1" applyAlignment="1" pivotButton="0" quotePrefix="0" xfId="0">
      <alignment horizontal="right" vertical="center"/>
    </xf>
    <xf numFmtId="0" fontId="7" fillId="3" borderId="1" pivotButton="0" quotePrefix="0" xfId="0"/>
    <xf numFmtId="0" fontId="5" fillId="0" borderId="2" pivotButton="0" quotePrefix="0" xfId="0"/>
    <xf numFmtId="0" fontId="0" fillId="0" borderId="2" pivotButton="0" quotePrefix="0" xfId="0"/>
    <xf numFmtId="165" fontId="5" fillId="0" borderId="2" pivotButton="0" quotePrefix="0" xfId="0"/>
    <xf numFmtId="164" fontId="5" fillId="0" borderId="2" pivotButton="0" quotePrefix="0" xfId="0"/>
    <xf numFmtId="164" fontId="5" fillId="4" borderId="2" pivotButton="0" quotePrefix="0" xfId="0"/>
    <xf numFmtId="0" fontId="7" fillId="0" borderId="0" pivotButton="0" quotePrefix="0" xfId="0"/>
    <xf numFmtId="0" fontId="5" fillId="0" borderId="1" applyAlignment="1" pivotButton="0" quotePrefix="0" xfId="0">
      <alignment horizontal="center" vertical="center" wrapText="1"/>
    </xf>
    <xf numFmtId="164" fontId="5" fillId="0" borderId="1" pivotButton="0" quotePrefix="0" xfId="0"/>
    <xf numFmtId="0" fontId="3" fillId="3" borderId="1" applyAlignment="1" pivotButton="0" quotePrefix="0" xfId="0">
      <alignment horizontal="center" vertical="center" wrapText="1"/>
    </xf>
    <xf numFmtId="164" fontId="3" fillId="3" borderId="1" pivotButton="0" quotePrefix="0" xfId="0"/>
    <xf numFmtId="0" fontId="3" fillId="0" borderId="1" applyAlignment="1" pivotButton="0" quotePrefix="0" xfId="0">
      <alignment horizontal="center" vertical="center" wrapText="1"/>
    </xf>
    <xf numFmtId="164" fontId="3" fillId="0" borderId="1" pivotButton="0" quotePrefix="0" xfId="0"/>
    <xf numFmtId="0" fontId="5" fillId="0" borderId="0" pivotButton="0" quotePrefix="0" xfId="0"/>
    <xf numFmtId="0" fontId="3" fillId="0" borderId="0" pivotButton="0" quotePrefix="0" xfId="0"/>
    <xf numFmtId="164" fontId="5" fillId="0" borderId="0" pivotButton="0" quotePrefix="0" xfId="0"/>
    <xf numFmtId="164" fontId="5"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showGridLines="1" workbookViewId="0">
      <selection activeCell="A1" sqref="A1"/>
    </sheetView>
  </sheetViews>
  <sheetFormatPr baseColWidth="8" defaultRowHeight="15"/>
  <cols>
    <col width="12" customWidth="1" min="1" max="1"/>
    <col width="32" customWidth="1" min="2" max="2"/>
    <col width="18" customWidth="1" min="3" max="3"/>
    <col width="12" customWidth="1" min="4" max="4"/>
    <col width="12" customWidth="1" min="5" max="5"/>
    <col width="12" customWidth="1" min="6" max="6"/>
    <col width="12" customWidth="1" min="7" max="7"/>
    <col width="12" customWidth="1" min="8" max="8"/>
  </cols>
  <sheetData>
    <row r="1"/>
    <row r="2">
      <c r="B2" s="1" t="inlineStr">
        <is>
          <t>YATIRIM VE SATIN ALMA STRATEJİSİ ANALİZ RAPORU</t>
        </is>
      </c>
    </row>
    <row r="3">
      <c r="B3" s="2" t="inlineStr">
        <is>
          <t>800.000 TL Sermaye İçin Peşin Alım vs. Serbest Birikim (Emlak Evim Modeli) Karşılaştırması</t>
        </is>
      </c>
    </row>
    <row r="4"/>
    <row r="5">
      <c r="B5" s="3" t="inlineStr">
        <is>
          <t>MANTIK ANALİZİ VE DEĞERLENDİRME:
Kurmak istediğiniz sistem finansal açıdan 'Arbitraj ve Nakit Akışı Yönetimi' prensibine dayanmaktadır. Eğer malı üreten/satan kişi size vade farkı uygulamadan veya çok düşük bir farkla sabit taksit imkanı tanıyorsa (örneğin ayda 20.000 TL sabit taksitle), paranızı bugünkü yüksek faiz/fon ortamında (%38-%42 net) değerlendirip taksitleri bu getiriden ödemek ÇOK MANTIKLIDIR. Enflasyon karşısında sabit taksitler eriyecek, ana paranız ise yüksek faiz ortamında korunup büyümeye devam edecektir.
Ancak dikkat edilmesi gereken kritik nokta: Satıcı taksitleri enflasyona veya dövize endekslerse ya da peşin alımda yapacağı 50.000 - 100.000 TL'lik indirimin fırsat maliyeti, yatırım getirisinden yüksek olursa peşin almak daha avantajlı hale gelebilir. Aşağıdaki tablolarda bu senaryoların matematiksel simülasyonu yapılmıştır.</t>
        </is>
      </c>
    </row>
    <row r="6"/>
    <row r="7"/>
    <row r="8"/>
    <row r="9"/>
    <row r="10"/>
    <row r="11"/>
    <row r="12"/>
    <row r="13"/>
    <row r="14"/>
    <row r="15">
      <c r="B15" s="4" t="inlineStr">
        <is>
          <t>SİMÜLASYON PARAMETRELERİ (2026 PİYASA VERİLERİ)</t>
        </is>
      </c>
    </row>
    <row r="16"/>
    <row r="17">
      <c r="B17" s="5" t="inlineStr">
        <is>
          <t>Toplam Başlangıç Sermayesi</t>
        </is>
      </c>
      <c r="C17" s="6" t="n">
        <v>800000</v>
      </c>
    </row>
    <row r="18">
      <c r="B18" s="5" t="inlineStr">
        <is>
          <t>Malın Liste Fiyatı (Vadeli/Taksitli Toplam)</t>
        </is>
      </c>
      <c r="C18" s="6" t="n">
        <v>800000</v>
      </c>
    </row>
    <row r="19">
      <c r="B19" s="5" t="inlineStr">
        <is>
          <t>Peşin / Nakit Ödeme Fiyatı (Alternatif)</t>
        </is>
      </c>
      <c r="C19" s="6" t="n">
        <v>700000</v>
      </c>
    </row>
    <row r="20">
      <c r="B20" s="5" t="inlineStr">
        <is>
          <t>Aylık Hedeflenen Taksit / Nakit Akışı</t>
        </is>
      </c>
      <c r="C20" s="6" t="n">
        <v>20000</v>
      </c>
    </row>
    <row r="21">
      <c r="B21" s="5" t="inlineStr">
        <is>
          <t>Yıllık Tahmini Net Mevduat/PPF Getirisi</t>
        </is>
      </c>
      <c r="C21" s="7" t="n">
        <v>0.4</v>
      </c>
    </row>
    <row r="22">
      <c r="B22" s="5" t="inlineStr">
        <is>
          <t>Aylık Bileşik Net Faiz Oranı (Aylık Ortalama)</t>
        </is>
      </c>
      <c r="C22" s="8" t="n">
        <v>0.0292</v>
      </c>
    </row>
    <row r="23">
      <c r="B23" s="5" t="inlineStr">
        <is>
          <t>Yıllık Beklenen Enflasyon / Mal Değer Artışı</t>
        </is>
      </c>
      <c r="C23" s="7" t="n">
        <v>0.32</v>
      </c>
    </row>
    <row r="24">
      <c r="B24" s="5" t="inlineStr">
        <is>
          <t>Vade / Simülasyon Süresi (Ay)</t>
        </is>
      </c>
      <c r="C24" s="9" t="n">
        <v>24</v>
      </c>
    </row>
  </sheetData>
  <mergeCells count="1">
    <mergeCell ref="B5:H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showGridLines="1" workbookViewId="0">
      <selection activeCell="A1" sqref="A1"/>
    </sheetView>
  </sheetViews>
  <sheetFormatPr baseColWidth="8" defaultRowHeight="15"/>
  <cols>
    <col width="12" customWidth="1" min="1" max="1"/>
    <col width="24" customWidth="1" min="2" max="2"/>
    <col width="38" customWidth="1" min="3" max="3"/>
    <col width="14" customWidth="1" min="4" max="4"/>
    <col width="18" customWidth="1" min="5" max="5"/>
    <col width="39" customWidth="1" min="6" max="6"/>
    <col width="32" customWidth="1" min="7" max="7"/>
    <col width="73" customWidth="1" min="8" max="8"/>
  </cols>
  <sheetData>
    <row r="1"/>
    <row r="2">
      <c r="B2" s="1" t="inlineStr">
        <is>
          <t>800.000 TL AKILLI HİBRİT PORTFÖY DAĞILIMI</t>
        </is>
      </c>
    </row>
    <row r="3">
      <c r="B3" s="2" t="inlineStr">
        <is>
          <t>Hem Aylık 20k+ Garantili Nakit Akışı Hem de Enflasyon Koruması Sağlayan Dağılım</t>
        </is>
      </c>
    </row>
    <row r="4"/>
    <row r="5">
      <c r="B5" s="10" t="inlineStr">
        <is>
          <t>Varlık Sınıfı / Fon Türü</t>
        </is>
      </c>
      <c r="C5" s="10" t="inlineStr">
        <is>
          <t>Önerilen TEFAS Fon Kategorisi / Örnek Kod</t>
        </is>
      </c>
      <c r="D5" s="10" t="inlineStr">
        <is>
          <t>Ağırlık (%)</t>
        </is>
      </c>
      <c r="E5" s="10" t="inlineStr">
        <is>
          <t>Yatırılan Tutar</t>
        </is>
      </c>
      <c r="F5" s="10" t="inlineStr">
        <is>
          <t>Beklenen Aylık Net Faiz/Getiri Oranı</t>
        </is>
      </c>
      <c r="G5" s="10" t="inlineStr">
        <is>
          <t>Tahmini Aylık Net Nakit Akışı</t>
        </is>
      </c>
      <c r="H5" s="10" t="inlineStr">
        <is>
          <t>Stratejik Amacı</t>
        </is>
      </c>
    </row>
    <row r="6">
      <c r="B6" s="11" t="inlineStr">
        <is>
          <t>Likit / Sabit Getiri</t>
        </is>
      </c>
      <c r="C6" s="5" t="inlineStr">
        <is>
          <t>Para Piyasası Fonları (Örn: PPZ, HLY, NVB)</t>
        </is>
      </c>
      <c r="D6" s="12" t="n">
        <v>0.65</v>
      </c>
      <c r="E6" s="13" t="n">
        <v>520000</v>
      </c>
      <c r="F6" s="12" t="n">
        <v>0.031</v>
      </c>
      <c r="G6" s="6">
        <f>E6*F6</f>
        <v/>
      </c>
      <c r="H6" s="14" t="inlineStr">
        <is>
          <t>Risksiz, kesin aylık nakit akışı. Taksit ödemelerinin ana kaynağı.</t>
        </is>
      </c>
    </row>
    <row r="7">
      <c r="B7" s="15" t="inlineStr">
        <is>
          <t>Hisse Senedi (Büyüme)</t>
        </is>
      </c>
      <c r="C7" s="16" t="inlineStr">
        <is>
          <t>BIST Temettü / Hisse Yoğun Fonlar (Örn: GSP, AYA, TCD)</t>
        </is>
      </c>
      <c r="D7" s="17" t="n">
        <v>0.25</v>
      </c>
      <c r="E7" s="18" t="n">
        <v>200000</v>
      </c>
      <c r="F7" s="17" t="n">
        <v>0.025</v>
      </c>
      <c r="G7" s="19">
        <f>E7*F7</f>
        <v/>
      </c>
      <c r="H7" s="20" t="inlineStr">
        <is>
          <t>Ana paranın enflasyona karşı korunması ve uzun vadeli sermaye kazancı.</t>
        </is>
      </c>
    </row>
    <row r="8">
      <c r="B8" s="11" t="inlineStr">
        <is>
          <t>Altın / Kıymetli Maden</t>
        </is>
      </c>
      <c r="C8" s="5" t="inlineStr">
        <is>
          <t>Altın Katılım Fonları (Örn: KGL, GGK)</t>
        </is>
      </c>
      <c r="D8" s="12" t="n">
        <v>0.1</v>
      </c>
      <c r="E8" s="13" t="n">
        <v>80000</v>
      </c>
      <c r="F8" s="12" t="n">
        <v>0.02</v>
      </c>
      <c r="G8" s="6">
        <f>E8*F8</f>
        <v/>
      </c>
      <c r="H8" s="14" t="inlineStr">
        <is>
          <t>Jeopolitik risklere karşı koruma ve portföy dengeleyici.</t>
        </is>
      </c>
    </row>
    <row r="9">
      <c r="B9" s="21" t="inlineStr">
        <is>
          <t>TOPLAM PORTFÖY</t>
        </is>
      </c>
      <c r="C9" s="22" t="n"/>
      <c r="D9" s="23">
        <f>SUM(D6:D8)</f>
        <v/>
      </c>
      <c r="E9" s="24">
        <f>SUM(E6:E8)</f>
        <v/>
      </c>
      <c r="F9" s="22" t="n"/>
      <c r="G9" s="25">
        <f>SUM(G6:G8)</f>
        <v/>
      </c>
      <c r="H9" s="22" t="n"/>
    </row>
    <row r="10"/>
    <row r="11">
      <c r="B11" s="26" t="inlineStr">
        <is>
          <t>* Not: Para Piyasası Fonları (PPF) günlük faiz işletir ve stopaj muafiyetleri/oranları dönem dönem avantajlıdır. Nakit akışını bozmamak adına 20k doğrudan PPF getirisinden çekilebilir.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5"/>
  <sheetViews>
    <sheetView showGridLines="1" workbookViewId="0">
      <selection activeCell="A1" sqref="A1"/>
    </sheetView>
  </sheetViews>
  <sheetFormatPr baseColWidth="8" defaultRowHeight="15"/>
  <cols>
    <col width="12" customWidth="1" min="1" max="1"/>
    <col width="45" customWidth="1" min="2" max="2"/>
    <col width="25" customWidth="1" min="3" max="3"/>
    <col width="34" customWidth="1" min="4" max="4"/>
    <col width="36" customWidth="1" min="5" max="5"/>
    <col width="25" customWidth="1" min="6" max="6"/>
    <col width="37" customWidth="1" min="7" max="7"/>
    <col width="37" customWidth="1" min="8" max="8"/>
  </cols>
  <sheetData>
    <row r="1"/>
    <row r="2">
      <c r="B2" s="1" t="inlineStr">
        <is>
          <t>SENARYO SİMÜLASYONU VE KARŞILAŞTIRMA</t>
        </is>
      </c>
    </row>
    <row r="3">
      <c r="B3" s="2" t="inlineStr">
        <is>
          <t>Senaryo 1: 700k Peşin Ödeyip Malı Almak vs Senaryo 2: 800k Yatırıp 20k Taksitle Almak</t>
        </is>
      </c>
    </row>
    <row r="4"/>
    <row r="5">
      <c r="B5" s="10" t="inlineStr">
        <is>
          <t>Ay</t>
        </is>
      </c>
      <c r="C5" s="10" t="inlineStr">
        <is>
          <t>Başlangıç Nakit (Yatırım)</t>
        </is>
      </c>
      <c r="D5" s="10" t="inlineStr">
        <is>
          <t>Aylık Net Fon Getirisi (~%2.92)</t>
        </is>
      </c>
      <c r="E5" s="10" t="inlineStr">
        <is>
          <t>Ödenen Taksit (Emlak Evim Modeli)</t>
        </is>
      </c>
      <c r="F5" s="10" t="inlineStr">
        <is>
          <t>Dönem Sonu Kalan Nakit</t>
        </is>
      </c>
      <c r="G5" s="10" t="inlineStr">
        <is>
          <t>Malın Tahmini Değeri (Enflasyonlu)</t>
        </is>
      </c>
      <c r="H5" s="10" t="inlineStr">
        <is>
          <t>Toplam Varlık Değeri (Mal + Nakit)</t>
        </is>
      </c>
    </row>
    <row r="6">
      <c r="B6" s="27" t="n">
        <v>0</v>
      </c>
      <c r="C6" s="28" t="n">
        <v>800000</v>
      </c>
      <c r="D6" s="28" t="n">
        <v>0</v>
      </c>
      <c r="E6" s="28" t="n">
        <v>0</v>
      </c>
      <c r="F6" s="28" t="n">
        <v>800000</v>
      </c>
      <c r="G6" s="28" t="n">
        <v>800000</v>
      </c>
      <c r="H6" s="28">
        <f>F6+G6</f>
        <v/>
      </c>
    </row>
    <row r="7">
      <c r="B7" s="29" t="n">
        <v>1</v>
      </c>
      <c r="C7" s="30">
        <f>F6</f>
        <v/>
      </c>
      <c r="D7" s="30">
        <f>C7*0.0292</f>
        <v/>
      </c>
      <c r="E7" s="30" t="n">
        <v>20000</v>
      </c>
      <c r="F7" s="30">
        <f>C7+D7-E7</f>
        <v/>
      </c>
      <c r="G7" s="30">
        <f>G6*(1+0.0233)</f>
        <v/>
      </c>
      <c r="H7" s="30">
        <f>F7+G7</f>
        <v/>
      </c>
    </row>
    <row r="8">
      <c r="B8" s="31" t="n">
        <v>2</v>
      </c>
      <c r="C8" s="32">
        <f>F7</f>
        <v/>
      </c>
      <c r="D8" s="32">
        <f>C8*0.0292</f>
        <v/>
      </c>
      <c r="E8" s="32" t="n">
        <v>20000</v>
      </c>
      <c r="F8" s="32">
        <f>C8+D8-E8</f>
        <v/>
      </c>
      <c r="G8" s="32">
        <f>G7*(1+0.0233)</f>
        <v/>
      </c>
      <c r="H8" s="32">
        <f>F8+G8</f>
        <v/>
      </c>
    </row>
    <row r="9">
      <c r="B9" s="29" t="n">
        <v>3</v>
      </c>
      <c r="C9" s="30">
        <f>F8</f>
        <v/>
      </c>
      <c r="D9" s="30">
        <f>C9*0.0292</f>
        <v/>
      </c>
      <c r="E9" s="30" t="n">
        <v>20000</v>
      </c>
      <c r="F9" s="30">
        <f>C9+D9-E9</f>
        <v/>
      </c>
      <c r="G9" s="30">
        <f>G8*(1+0.0233)</f>
        <v/>
      </c>
      <c r="H9" s="30">
        <f>F9+G9</f>
        <v/>
      </c>
    </row>
    <row r="10">
      <c r="B10" s="31" t="n">
        <v>4</v>
      </c>
      <c r="C10" s="32">
        <f>F9</f>
        <v/>
      </c>
      <c r="D10" s="32">
        <f>C10*0.0292</f>
        <v/>
      </c>
      <c r="E10" s="32" t="n">
        <v>20000</v>
      </c>
      <c r="F10" s="32">
        <f>C10+D10-E10</f>
        <v/>
      </c>
      <c r="G10" s="32">
        <f>G9*(1+0.0233)</f>
        <v/>
      </c>
      <c r="H10" s="32">
        <f>F10+G10</f>
        <v/>
      </c>
    </row>
    <row r="11">
      <c r="B11" s="29" t="n">
        <v>5</v>
      </c>
      <c r="C11" s="30">
        <f>F10</f>
        <v/>
      </c>
      <c r="D11" s="30">
        <f>C11*0.0292</f>
        <v/>
      </c>
      <c r="E11" s="30" t="n">
        <v>20000</v>
      </c>
      <c r="F11" s="30">
        <f>C11+D11-E11</f>
        <v/>
      </c>
      <c r="G11" s="30">
        <f>G10*(1+0.0233)</f>
        <v/>
      </c>
      <c r="H11" s="30">
        <f>F11+G11</f>
        <v/>
      </c>
    </row>
    <row r="12">
      <c r="B12" s="31" t="n">
        <v>6</v>
      </c>
      <c r="C12" s="32">
        <f>F11</f>
        <v/>
      </c>
      <c r="D12" s="32">
        <f>C12*0.0292</f>
        <v/>
      </c>
      <c r="E12" s="32" t="n">
        <v>20000</v>
      </c>
      <c r="F12" s="32">
        <f>C12+D12-E12</f>
        <v/>
      </c>
      <c r="G12" s="32">
        <f>G11*(1+0.0233)</f>
        <v/>
      </c>
      <c r="H12" s="32">
        <f>F12+G12</f>
        <v/>
      </c>
    </row>
    <row r="13">
      <c r="B13" s="29" t="n">
        <v>7</v>
      </c>
      <c r="C13" s="30">
        <f>F12</f>
        <v/>
      </c>
      <c r="D13" s="30">
        <f>C13*0.0292</f>
        <v/>
      </c>
      <c r="E13" s="30" t="n">
        <v>20000</v>
      </c>
      <c r="F13" s="30">
        <f>C13+D13-E13</f>
        <v/>
      </c>
      <c r="G13" s="30">
        <f>G12*(1+0.0233)</f>
        <v/>
      </c>
      <c r="H13" s="30">
        <f>F13+G13</f>
        <v/>
      </c>
    </row>
    <row r="14">
      <c r="B14" s="31" t="n">
        <v>8</v>
      </c>
      <c r="C14" s="32">
        <f>F13</f>
        <v/>
      </c>
      <c r="D14" s="32">
        <f>C14*0.0292</f>
        <v/>
      </c>
      <c r="E14" s="32" t="n">
        <v>20000</v>
      </c>
      <c r="F14" s="32">
        <f>C14+D14-E14</f>
        <v/>
      </c>
      <c r="G14" s="32">
        <f>G13*(1+0.0233)</f>
        <v/>
      </c>
      <c r="H14" s="32">
        <f>F14+G14</f>
        <v/>
      </c>
    </row>
    <row r="15">
      <c r="B15" s="29" t="n">
        <v>9</v>
      </c>
      <c r="C15" s="30">
        <f>F14</f>
        <v/>
      </c>
      <c r="D15" s="30">
        <f>C15*0.0292</f>
        <v/>
      </c>
      <c r="E15" s="30" t="n">
        <v>20000</v>
      </c>
      <c r="F15" s="30">
        <f>C15+D15-E15</f>
        <v/>
      </c>
      <c r="G15" s="30">
        <f>G14*(1+0.0233)</f>
        <v/>
      </c>
      <c r="H15" s="30">
        <f>F15+G15</f>
        <v/>
      </c>
    </row>
    <row r="16">
      <c r="B16" s="31" t="n">
        <v>10</v>
      </c>
      <c r="C16" s="32">
        <f>F15</f>
        <v/>
      </c>
      <c r="D16" s="32">
        <f>C16*0.0292</f>
        <v/>
      </c>
      <c r="E16" s="32" t="n">
        <v>20000</v>
      </c>
      <c r="F16" s="32">
        <f>C16+D16-E16</f>
        <v/>
      </c>
      <c r="G16" s="32">
        <f>G15*(1+0.0233)</f>
        <v/>
      </c>
      <c r="H16" s="32">
        <f>F16+G16</f>
        <v/>
      </c>
    </row>
    <row r="17">
      <c r="B17" s="29" t="n">
        <v>11</v>
      </c>
      <c r="C17" s="30">
        <f>F16</f>
        <v/>
      </c>
      <c r="D17" s="30">
        <f>C17*0.0292</f>
        <v/>
      </c>
      <c r="E17" s="30" t="n">
        <v>20000</v>
      </c>
      <c r="F17" s="30">
        <f>C17+D17-E17</f>
        <v/>
      </c>
      <c r="G17" s="30">
        <f>G16*(1+0.0233)</f>
        <v/>
      </c>
      <c r="H17" s="30">
        <f>F17+G17</f>
        <v/>
      </c>
    </row>
    <row r="18">
      <c r="B18" s="31" t="n">
        <v>12</v>
      </c>
      <c r="C18" s="32">
        <f>F17</f>
        <v/>
      </c>
      <c r="D18" s="32">
        <f>C18*0.0292</f>
        <v/>
      </c>
      <c r="E18" s="32" t="n">
        <v>20000</v>
      </c>
      <c r="F18" s="32">
        <f>C18+D18-E18</f>
        <v/>
      </c>
      <c r="G18" s="32">
        <f>G17*(1+0.0233)</f>
        <v/>
      </c>
      <c r="H18" s="32">
        <f>F18+G18</f>
        <v/>
      </c>
    </row>
    <row r="19">
      <c r="B19" s="29" t="n">
        <v>13</v>
      </c>
      <c r="C19" s="30">
        <f>F18</f>
        <v/>
      </c>
      <c r="D19" s="30">
        <f>C19*0.0292</f>
        <v/>
      </c>
      <c r="E19" s="30" t="n">
        <v>20000</v>
      </c>
      <c r="F19" s="30">
        <f>C19+D19-E19</f>
        <v/>
      </c>
      <c r="G19" s="30">
        <f>G18*(1+0.0233)</f>
        <v/>
      </c>
      <c r="H19" s="30">
        <f>F19+G19</f>
        <v/>
      </c>
    </row>
    <row r="20">
      <c r="B20" s="31" t="n">
        <v>14</v>
      </c>
      <c r="C20" s="32">
        <f>F19</f>
        <v/>
      </c>
      <c r="D20" s="32">
        <f>C20*0.0292</f>
        <v/>
      </c>
      <c r="E20" s="32" t="n">
        <v>20000</v>
      </c>
      <c r="F20" s="32">
        <f>C20+D20-E20</f>
        <v/>
      </c>
      <c r="G20" s="32">
        <f>G19*(1+0.0233)</f>
        <v/>
      </c>
      <c r="H20" s="32">
        <f>F20+G20</f>
        <v/>
      </c>
    </row>
    <row r="21">
      <c r="B21" s="29" t="n">
        <v>15</v>
      </c>
      <c r="C21" s="30">
        <f>F20</f>
        <v/>
      </c>
      <c r="D21" s="30">
        <f>C21*0.0292</f>
        <v/>
      </c>
      <c r="E21" s="30" t="n">
        <v>20000</v>
      </c>
      <c r="F21" s="30">
        <f>C21+D21-E21</f>
        <v/>
      </c>
      <c r="G21" s="30">
        <f>G20*(1+0.0233)</f>
        <v/>
      </c>
      <c r="H21" s="30">
        <f>F21+G21</f>
        <v/>
      </c>
    </row>
    <row r="22">
      <c r="B22" s="31" t="n">
        <v>16</v>
      </c>
      <c r="C22" s="32">
        <f>F21</f>
        <v/>
      </c>
      <c r="D22" s="32">
        <f>C22*0.0292</f>
        <v/>
      </c>
      <c r="E22" s="32" t="n">
        <v>20000</v>
      </c>
      <c r="F22" s="32">
        <f>C22+D22-E22</f>
        <v/>
      </c>
      <c r="G22" s="32">
        <f>G21*(1+0.0233)</f>
        <v/>
      </c>
      <c r="H22" s="32">
        <f>F22+G22</f>
        <v/>
      </c>
    </row>
    <row r="23">
      <c r="B23" s="29" t="n">
        <v>17</v>
      </c>
      <c r="C23" s="30">
        <f>F22</f>
        <v/>
      </c>
      <c r="D23" s="30">
        <f>C23*0.0292</f>
        <v/>
      </c>
      <c r="E23" s="30" t="n">
        <v>20000</v>
      </c>
      <c r="F23" s="30">
        <f>C23+D23-E23</f>
        <v/>
      </c>
      <c r="G23" s="30">
        <f>G22*(1+0.0233)</f>
        <v/>
      </c>
      <c r="H23" s="30">
        <f>F23+G23</f>
        <v/>
      </c>
    </row>
    <row r="24">
      <c r="B24" s="31" t="n">
        <v>18</v>
      </c>
      <c r="C24" s="32">
        <f>F23</f>
        <v/>
      </c>
      <c r="D24" s="32">
        <f>C24*0.0292</f>
        <v/>
      </c>
      <c r="E24" s="32" t="n">
        <v>20000</v>
      </c>
      <c r="F24" s="32">
        <f>C24+D24-E24</f>
        <v/>
      </c>
      <c r="G24" s="32">
        <f>G23*(1+0.0233)</f>
        <v/>
      </c>
      <c r="H24" s="32">
        <f>F24+G24</f>
        <v/>
      </c>
    </row>
    <row r="25">
      <c r="B25" s="29" t="n">
        <v>19</v>
      </c>
      <c r="C25" s="30">
        <f>F24</f>
        <v/>
      </c>
      <c r="D25" s="30">
        <f>C25*0.0292</f>
        <v/>
      </c>
      <c r="E25" s="30" t="n">
        <v>20000</v>
      </c>
      <c r="F25" s="30">
        <f>C25+D25-E25</f>
        <v/>
      </c>
      <c r="G25" s="30">
        <f>G24*(1+0.0233)</f>
        <v/>
      </c>
      <c r="H25" s="30">
        <f>F25+G25</f>
        <v/>
      </c>
    </row>
    <row r="26">
      <c r="B26" s="31" t="n">
        <v>20</v>
      </c>
      <c r="C26" s="32">
        <f>F25</f>
        <v/>
      </c>
      <c r="D26" s="32">
        <f>C26*0.0292</f>
        <v/>
      </c>
      <c r="E26" s="32" t="n">
        <v>20000</v>
      </c>
      <c r="F26" s="32">
        <f>C26+D26-E26</f>
        <v/>
      </c>
      <c r="G26" s="32">
        <f>G25*(1+0.0233)</f>
        <v/>
      </c>
      <c r="H26" s="32">
        <f>F26+G26</f>
        <v/>
      </c>
    </row>
    <row r="27">
      <c r="B27" s="29" t="n">
        <v>21</v>
      </c>
      <c r="C27" s="30">
        <f>F26</f>
        <v/>
      </c>
      <c r="D27" s="30">
        <f>C27*0.0292</f>
        <v/>
      </c>
      <c r="E27" s="30" t="n">
        <v>20000</v>
      </c>
      <c r="F27" s="30">
        <f>C27+D27-E27</f>
        <v/>
      </c>
      <c r="G27" s="30">
        <f>G26*(1+0.0233)</f>
        <v/>
      </c>
      <c r="H27" s="30">
        <f>F27+G27</f>
        <v/>
      </c>
    </row>
    <row r="28">
      <c r="B28" s="31" t="n">
        <v>22</v>
      </c>
      <c r="C28" s="32">
        <f>F27</f>
        <v/>
      </c>
      <c r="D28" s="32">
        <f>C28*0.0292</f>
        <v/>
      </c>
      <c r="E28" s="32" t="n">
        <v>20000</v>
      </c>
      <c r="F28" s="32">
        <f>C28+D28-E28</f>
        <v/>
      </c>
      <c r="G28" s="32">
        <f>G27*(1+0.0233)</f>
        <v/>
      </c>
      <c r="H28" s="32">
        <f>F28+G28</f>
        <v/>
      </c>
    </row>
    <row r="29">
      <c r="B29" s="29" t="n">
        <v>23</v>
      </c>
      <c r="C29" s="30">
        <f>F28</f>
        <v/>
      </c>
      <c r="D29" s="30">
        <f>C29*0.0292</f>
        <v/>
      </c>
      <c r="E29" s="30" t="n">
        <v>20000</v>
      </c>
      <c r="F29" s="30">
        <f>C29+D29-E29</f>
        <v/>
      </c>
      <c r="G29" s="30">
        <f>G28*(1+0.0233)</f>
        <v/>
      </c>
      <c r="H29" s="30">
        <f>F29+G29</f>
        <v/>
      </c>
    </row>
    <row r="30">
      <c r="B30" s="31" t="n">
        <v>24</v>
      </c>
      <c r="C30" s="32">
        <f>F29</f>
        <v/>
      </c>
      <c r="D30" s="32">
        <f>C30*0.0292</f>
        <v/>
      </c>
      <c r="E30" s="32" t="n">
        <v>20000</v>
      </c>
      <c r="F30" s="32">
        <f>C30+D30-E30</f>
        <v/>
      </c>
      <c r="G30" s="32">
        <f>G29*(1+0.0233)</f>
        <v/>
      </c>
      <c r="H30" s="32">
        <f>F30+G30</f>
        <v/>
      </c>
    </row>
    <row r="31"/>
    <row r="32">
      <c r="B32" s="4" t="inlineStr">
        <is>
          <t>24 AY SONUNDA NET DURUM KARŞILAŞTIRMASI</t>
        </is>
      </c>
    </row>
    <row r="33"/>
    <row r="34">
      <c r="B34" s="33" t="inlineStr">
        <is>
          <t>SENARYO 1: PEŞİN ALIM (700.000 TL Nakit Ödeme)</t>
        </is>
      </c>
    </row>
    <row r="35">
      <c r="B35" s="34" t="inlineStr">
        <is>
          <t>Malın Ulaşacağı Değer (Enflasyonlu):</t>
        </is>
      </c>
      <c r="C35" s="35">
        <f>G30</f>
        <v/>
      </c>
    </row>
    <row r="36">
      <c r="B36" s="34" t="inlineStr">
        <is>
          <t>Elde Kalan Nakit Başlangıç Parası (100.000 TL yatırımda büyüdü):</t>
        </is>
      </c>
      <c r="C36" s="35">
        <f>100000*(1+0.0292)^24</f>
        <v/>
      </c>
    </row>
    <row r="37">
      <c r="B37" s="33" t="inlineStr">
        <is>
          <t>TOPLAM VARLIK (Senaryo 1):</t>
        </is>
      </c>
      <c r="C37" s="36">
        <f>C35+C36</f>
        <v/>
      </c>
    </row>
    <row r="38"/>
    <row r="39">
      <c r="B39" s="33" t="inlineStr">
        <is>
          <t>SENARYO 2: SİZİN TAKTİK (800.000 TL Yatırıp Getiriyle Taksit Ödemek)</t>
        </is>
      </c>
    </row>
    <row r="40">
      <c r="B40" s="34" t="inlineStr">
        <is>
          <t>Malın Ulaşacağı Değer:</t>
        </is>
      </c>
      <c r="C40" s="35">
        <f>G30</f>
        <v/>
      </c>
    </row>
    <row r="41">
      <c r="B41" s="34" t="inlineStr">
        <is>
          <t>Elde Kalan Nakit Para (Sizin Sorduğunuz '800k kalmaz mı?' sorusu):</t>
        </is>
      </c>
      <c r="C41" s="36">
        <f>F30</f>
        <v/>
      </c>
    </row>
    <row r="42">
      <c r="B42" s="33" t="inlineStr">
        <is>
          <t>TOPLAM VARLIK (Senaryo 2):</t>
        </is>
      </c>
      <c r="C42" s="35">
        <f>C40+C41</f>
        <v/>
      </c>
    </row>
    <row r="43"/>
    <row r="44">
      <c r="B44" s="3" t="inlineStr">
        <is>
          <t>FİNANSAL KARAR VE ÖZET:
1. Mantığınız Kesinlikle Doğru! Eğer satıcı fiyata vade farkı uygulamadan aylık 20.000 TL sabit taksit kabul ediyorsa, elinizdeki parayı fonlarda tutarak taksit ödemek size dönem sonunda hem malı kazandırır hem de elinizde simülasyonda görüleceği üzere yaklaşık 900.000 TL'nin üzerinde nakit kalmasını sağlar.
2. 'Elde yine 800k kalmaz mı?' sorunuzun cevabı: EVET, hatta daha fazlası kalır (~920.000 TL). Çünkü 800.000 TL'nin aylık getirisi (~23.360 TL), ödediğiniz taksitten (20.000 TL) daha fazladır. Artan miktar da ana paraya eklenerek bileşik büyür.
3. PEŞİN ALIM ALTI ÇİZİLİ İSTİSNA: Eğer satıcı peşin ödemede fiyatı 700.000 TL'ye düşürüyorsa, aradaki 100.000 TL'lik indirim %12,5'lik net bir peşin iskontosu demektir. Bu durumda 700k peşin verip kalan 100k'yı yine fonlarda büyütmek ile 800k yatırıp taksit ödemek arasındaki kafa kafaya yarış, mevduat faizlerinin gelecekte düşüp düşmeyeceğine bağlıdır. Faizler yüksek kaldığı sürece taksitli model (Senaryo 2) her zaman daha kârlıdır.</t>
        </is>
      </c>
    </row>
    <row r="45"/>
    <row r="46"/>
    <row r="47"/>
    <row r="48"/>
    <row r="49"/>
    <row r="50"/>
    <row r="51"/>
    <row r="52"/>
    <row r="53"/>
    <row r="54"/>
    <row r="55"/>
  </sheetData>
  <mergeCells count="1">
    <mergeCell ref="B44:H55"/>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2026-07-01T02:41:13Z</dcterms:created>
  <dcterms:modified xmlns:dcterms="http://purl.org/dc/terms/" xmlns:xsi="http://www.w3.org/2001/XMLSchema-instance" xsi:type="dcterms:W3CDTF">2026-07-01T02:41:13Z</dcterms:modified>
</cp:coreProperties>
</file>