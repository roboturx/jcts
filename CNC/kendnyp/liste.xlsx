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\jcts\CNC\kendnyp\"/>
    </mc:Choice>
  </mc:AlternateContent>
  <xr:revisionPtr revIDLastSave="0" documentId="13_ncr:1_{3F46B035-942E-4790-BE56-D7C6BC3010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25" i="1"/>
  <c r="G26" i="1"/>
  <c r="G27" i="1"/>
  <c r="G28" i="1"/>
  <c r="G29" i="1"/>
  <c r="G30" i="1"/>
  <c r="G31" i="1"/>
  <c r="G24" i="1"/>
</calcChain>
</file>

<file path=xl/sharedStrings.xml><?xml version="1.0" encoding="utf-8"?>
<sst xmlns="http://schemas.openxmlformats.org/spreadsheetml/2006/main" count="26" uniqueCount="26">
  <si>
    <t xml:space="preserve">Taşıyıcı şasi: </t>
  </si>
  <si>
    <t xml:space="preserve">80x80x2,5mm kutu profil </t>
  </si>
  <si>
    <t xml:space="preserve"> Alüminyum şasi:</t>
  </si>
  <si>
    <t xml:space="preserve"> 12 metre  2,4 metre 90x180 sigma profil 6 metre 45x90 sigma profil Hareket aksamı: 8 adet HGH20 araba 4 adet HGW25 araba 6,8 metre HGR25 ray 6 metre HGR20 ray 8,5 metre 1,5 modül kremayer 3 adet 1,5 modül 20 diş helis dişli 4 adet Leadshine 86CM85 step motor 4 adet Leadshine DMA860E step sürücü 550mm Hiwin R20-5 vidalı mil 1 adet Hiwin R20-5 T3 FSI Somun Arel 2,2kW 18000 devir spindle Delta 2,2kW spindle sürücü</t>
  </si>
  <si>
    <t>90x90 sigma profil</t>
  </si>
  <si>
    <t xml:space="preserve">90x180 sigma profil </t>
  </si>
  <si>
    <t xml:space="preserve">6 metre 45x90 sigma profil </t>
  </si>
  <si>
    <t xml:space="preserve">Hareket aksamı: </t>
  </si>
  <si>
    <t xml:space="preserve">8 adet HGH20 araba </t>
  </si>
  <si>
    <t xml:space="preserve">4 adet HGW25 araba </t>
  </si>
  <si>
    <t xml:space="preserve">6,8 metre HGR25 ray </t>
  </si>
  <si>
    <t xml:space="preserve">6 metre HGR20 ray </t>
  </si>
  <si>
    <t>8,5 metre 1,5 modül kremayer 3 adet 1,5 modül 20 diş helis dişli 4 adet Leadshine 86CM85 step motor 4 adet Leadshine DMA860E step sürücü 550mm Hiwin R20-5 vidalı mil 1 adet Hiwin R20-5 T3 FSI Somun Arel 2,2kW 18000 devir spindle Delta 2,2kW spindle sürücü</t>
  </si>
  <si>
    <t xml:space="preserve">8,5 metre 1,5 modül kremayer </t>
  </si>
  <si>
    <t xml:space="preserve">3 adet 1,5 modül 20 diş helis dişli </t>
  </si>
  <si>
    <t>4 adet Leadshine 86CM85 step motor</t>
  </si>
  <si>
    <t xml:space="preserve"> 4 adet Leadshine DMA860E step sürücü </t>
  </si>
  <si>
    <t xml:space="preserve">550mm Hiwin R20-5 vidalı mil </t>
  </si>
  <si>
    <t xml:space="preserve">1 adet Hiwin R20-5 T3 FSI Somun </t>
  </si>
  <si>
    <t>Arel 2,2kW 18000 devir spindle</t>
  </si>
  <si>
    <t xml:space="preserve"> Delta 2,2kW spindle sürücü</t>
  </si>
  <si>
    <t>60x80x3</t>
  </si>
  <si>
    <t>birim fiyat</t>
  </si>
  <si>
    <t>TL</t>
  </si>
  <si>
    <t>80x80</t>
  </si>
  <si>
    <t xml:space="preserve">80x80 ağır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</si>
</sst>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32"/>
  <sheetViews>
    <sheetView tabSelected="1" topLeftCell="B17" zoomScale="190" zoomScaleNormal="190" workbookViewId="0">
      <selection activeCell="I29" sqref="I29"/>
    </sheetView>
  </sheetViews>
  <sheetFormatPr defaultRowHeight="15" x14ac:dyDescent="0.25"/>
  <cols>
    <col min="3" max="3" width="25" bestFit="1" customWidth="1"/>
  </cols>
  <sheetData>
    <row r="4" spans="2:6" x14ac:dyDescent="0.25">
      <c r="B4" s="1" t="s">
        <v>3</v>
      </c>
    </row>
    <row r="5" spans="2:6" x14ac:dyDescent="0.25">
      <c r="B5" t="s">
        <v>0</v>
      </c>
      <c r="F5" t="s">
        <v>23</v>
      </c>
    </row>
    <row r="6" spans="2:6" x14ac:dyDescent="0.25">
      <c r="F6" t="s">
        <v>22</v>
      </c>
    </row>
    <row r="7" spans="2:6" x14ac:dyDescent="0.25">
      <c r="B7">
        <v>18</v>
      </c>
      <c r="C7" t="s">
        <v>1</v>
      </c>
      <c r="D7" t="s">
        <v>21</v>
      </c>
      <c r="F7">
        <v>200</v>
      </c>
    </row>
    <row r="9" spans="2:6" x14ac:dyDescent="0.25">
      <c r="B9" t="s">
        <v>2</v>
      </c>
    </row>
    <row r="10" spans="2:6" x14ac:dyDescent="0.25">
      <c r="C10" t="s">
        <v>24</v>
      </c>
      <c r="F10">
        <v>850</v>
      </c>
    </row>
    <row r="11" spans="2:6" x14ac:dyDescent="0.25">
      <c r="C11" t="s">
        <v>25</v>
      </c>
      <c r="F11">
        <v>1310</v>
      </c>
    </row>
    <row r="12" spans="2:6" x14ac:dyDescent="0.25">
      <c r="B12">
        <v>12</v>
      </c>
      <c r="C12" t="s">
        <v>4</v>
      </c>
      <c r="F12">
        <v>2040</v>
      </c>
    </row>
    <row r="13" spans="2:6" x14ac:dyDescent="0.25">
      <c r="B13">
        <v>2.4</v>
      </c>
      <c r="C13" t="s">
        <v>5</v>
      </c>
      <c r="F13">
        <v>2750</v>
      </c>
    </row>
    <row r="14" spans="2:6" x14ac:dyDescent="0.25">
      <c r="C14" t="s">
        <v>6</v>
      </c>
      <c r="F14">
        <v>671</v>
      </c>
    </row>
    <row r="16" spans="2:6" x14ac:dyDescent="0.25">
      <c r="B16" t="s">
        <v>7</v>
      </c>
    </row>
    <row r="18" spans="3:9" x14ac:dyDescent="0.25">
      <c r="C18" t="s">
        <v>8</v>
      </c>
      <c r="F18">
        <v>300</v>
      </c>
    </row>
    <row r="19" spans="3:9" x14ac:dyDescent="0.25">
      <c r="C19" t="s">
        <v>9</v>
      </c>
      <c r="F19">
        <v>400</v>
      </c>
    </row>
    <row r="20" spans="3:9" x14ac:dyDescent="0.25">
      <c r="C20" t="s">
        <v>10</v>
      </c>
      <c r="F20">
        <v>2500</v>
      </c>
    </row>
    <row r="21" spans="3:9" x14ac:dyDescent="0.25">
      <c r="C21" t="s">
        <v>11</v>
      </c>
      <c r="F21">
        <v>2750</v>
      </c>
    </row>
    <row r="23" spans="3:9" x14ac:dyDescent="0.25">
      <c r="C23" s="1" t="s">
        <v>12</v>
      </c>
    </row>
    <row r="24" spans="3:9" x14ac:dyDescent="0.25">
      <c r="C24" t="s">
        <v>13</v>
      </c>
      <c r="E24">
        <v>9</v>
      </c>
      <c r="F24">
        <v>650</v>
      </c>
      <c r="G24">
        <f>F24*E24</f>
        <v>5850</v>
      </c>
    </row>
    <row r="25" spans="3:9" x14ac:dyDescent="0.25">
      <c r="C25" t="s">
        <v>14</v>
      </c>
      <c r="E25">
        <v>3</v>
      </c>
      <c r="F25">
        <v>550</v>
      </c>
      <c r="G25">
        <f t="shared" ref="G25:G31" si="0">F25*E25</f>
        <v>1650</v>
      </c>
    </row>
    <row r="26" spans="3:9" x14ac:dyDescent="0.25">
      <c r="C26" t="s">
        <v>15</v>
      </c>
      <c r="E26">
        <v>4</v>
      </c>
      <c r="F26">
        <v>3000</v>
      </c>
      <c r="G26">
        <f t="shared" si="0"/>
        <v>12000</v>
      </c>
    </row>
    <row r="27" spans="3:9" x14ac:dyDescent="0.25">
      <c r="C27" t="s">
        <v>16</v>
      </c>
      <c r="E27">
        <v>4</v>
      </c>
      <c r="F27">
        <v>3500</v>
      </c>
      <c r="G27">
        <f t="shared" si="0"/>
        <v>14000</v>
      </c>
    </row>
    <row r="28" spans="3:9" x14ac:dyDescent="0.25">
      <c r="C28" t="s">
        <v>17</v>
      </c>
      <c r="E28">
        <v>0.55000000000000004</v>
      </c>
      <c r="F28">
        <v>2500</v>
      </c>
      <c r="G28">
        <f t="shared" si="0"/>
        <v>1375</v>
      </c>
      <c r="I28" s="2">
        <v>45597</v>
      </c>
    </row>
    <row r="29" spans="3:9" x14ac:dyDescent="0.25">
      <c r="C29" t="s">
        <v>18</v>
      </c>
      <c r="E29">
        <v>1</v>
      </c>
      <c r="F29">
        <v>3000</v>
      </c>
      <c r="G29">
        <f t="shared" si="0"/>
        <v>3000</v>
      </c>
    </row>
    <row r="30" spans="3:9" x14ac:dyDescent="0.25">
      <c r="C30" t="s">
        <v>19</v>
      </c>
      <c r="E30">
        <v>1</v>
      </c>
      <c r="F30">
        <v>7500</v>
      </c>
      <c r="G30">
        <f t="shared" si="0"/>
        <v>7500</v>
      </c>
    </row>
    <row r="31" spans="3:9" x14ac:dyDescent="0.25">
      <c r="C31" t="s">
        <v>20</v>
      </c>
      <c r="E31">
        <v>1</v>
      </c>
      <c r="F31">
        <v>7500</v>
      </c>
      <c r="G31">
        <f t="shared" si="0"/>
        <v>7500</v>
      </c>
    </row>
    <row r="32" spans="3:9" x14ac:dyDescent="0.25">
      <c r="G32">
        <f>SUM(G24:G31)</f>
        <v>52875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2024-12-01T17:03:49Z</dcterms:modified>
</cp:coreProperties>
</file>