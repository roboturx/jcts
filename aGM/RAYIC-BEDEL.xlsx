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jcts\aGM\"/>
    </mc:Choice>
  </mc:AlternateContent>
  <xr:revisionPtr revIDLastSave="0" documentId="13_ncr:1_{1B0EDA39-350A-4219-9A3F-A599E8449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D13" i="1"/>
  <c r="F8" i="1"/>
  <c r="D4" i="1"/>
  <c r="D5" i="1"/>
  <c r="D6" i="1"/>
  <c r="D7" i="1"/>
  <c r="D8" i="1"/>
  <c r="D9" i="1"/>
  <c r="D10" i="1"/>
  <c r="D11" i="1"/>
  <c r="D3" i="1"/>
  <c r="F3" i="1"/>
  <c r="G6" i="1"/>
  <c r="G8" i="1"/>
  <c r="G9" i="1"/>
  <c r="G10" i="1"/>
  <c r="G11" i="1"/>
  <c r="G12" i="1"/>
  <c r="G3" i="1"/>
  <c r="F7" i="1"/>
  <c r="G7" i="1" s="1"/>
  <c r="F5" i="1"/>
  <c r="G5" i="1" s="1"/>
  <c r="F4" i="1"/>
  <c r="G4" i="1" s="1"/>
</calcChain>
</file>

<file path=xl/sharedStrings.xml><?xml version="1.0" encoding="utf-8"?>
<sst xmlns="http://schemas.openxmlformats.org/spreadsheetml/2006/main" count="67" uniqueCount="39">
  <si>
    <t>GÜLBAHARHATUN</t>
  </si>
  <si>
    <t>Behzat 4.Sokak</t>
  </si>
  <si>
    <t>TL</t>
  </si>
  <si>
    <t>m2</t>
  </si>
  <si>
    <t>ALİ PAŞA</t>
  </si>
  <si>
    <t>Alipaşa Hamam Sokak</t>
  </si>
  <si>
    <t>KABE-İ MESCİT</t>
  </si>
  <si>
    <t>Bekirpaşa Sokak</t>
  </si>
  <si>
    <t>KÜMBET</t>
  </si>
  <si>
    <t>Aslı Sokak</t>
  </si>
  <si>
    <t>YENİYURT</t>
  </si>
  <si>
    <t>3958 Sokak</t>
  </si>
  <si>
    <t>Süreyya Bey Caddesi</t>
  </si>
  <si>
    <t>İsmail Altıngövde Caddesi</t>
  </si>
  <si>
    <t>TOKAT</t>
  </si>
  <si>
    <t>MERKEZ</t>
  </si>
  <si>
    <t>YAŞMEYDAN M</t>
  </si>
  <si>
    <t>Ana Taşınmaz</t>
  </si>
  <si>
    <t>ARSA</t>
  </si>
  <si>
    <t>TAPU BİLGİLERİ</t>
  </si>
  <si>
    <t>KÜMBETTEPE</t>
  </si>
  <si>
    <t>Kat Mülkiyeti</t>
  </si>
  <si>
    <t>Bağ. Bölüm No. 3 Kat: ZEMİN</t>
  </si>
  <si>
    <t>MESKEN</t>
  </si>
  <si>
    <t>YENİMAHALLE M</t>
  </si>
  <si>
    <t>MEYDAN M</t>
  </si>
  <si>
    <t>DÜKKAN</t>
  </si>
  <si>
    <t>KÜMBETTEPE M</t>
  </si>
  <si>
    <t>BELEDİYE ADRES</t>
  </si>
  <si>
    <t>RAYİÇ BEDEL</t>
  </si>
  <si>
    <t>YARAHMET MAHALLESİ</t>
  </si>
  <si>
    <t>Güngör Kaya Caddesi</t>
  </si>
  <si>
    <t xml:space="preserve"> 3/40 </t>
  </si>
  <si>
    <t xml:space="preserve"> 1/8 </t>
  </si>
  <si>
    <t xml:space="preserve"> 7/40</t>
  </si>
  <si>
    <t xml:space="preserve">M2 RAYİÇ BEDEL </t>
  </si>
  <si>
    <t xml:space="preserve"> 1/8</t>
  </si>
  <si>
    <t>HİSSE</t>
  </si>
  <si>
    <t xml:space="preserve"> 5/50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</si>
</sst>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43" fontId="0" fillId="0" borderId="0" xfId="1" applyFont="1"/>
    <xf numFmtId="170" fontId="0" fillId="0" borderId="0" xfId="1" applyNumberFormat="1" applyFont="1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70" fontId="0" fillId="0" borderId="0" xfId="1" applyNumberFormat="1" applyFont="1" applyAlignment="1">
      <alignment vertical="center"/>
    </xf>
    <xf numFmtId="17" fontId="0" fillId="0" borderId="0" xfId="0" applyNumberForma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zoomScale="175" zoomScaleNormal="175" workbookViewId="0">
      <selection activeCell="G6" sqref="G6"/>
    </sheetView>
  </sheetViews>
  <sheetFormatPr defaultRowHeight="15" x14ac:dyDescent="0.25"/>
  <cols>
    <col min="2" max="2" width="9.140625" style="8"/>
    <col min="4" max="4" width="13.42578125" style="2" bestFit="1" customWidth="1"/>
    <col min="6" max="6" width="9.140625" style="3"/>
    <col min="7" max="7" width="13.42578125" bestFit="1" customWidth="1"/>
    <col min="8" max="8" width="1.42578125" customWidth="1"/>
    <col min="11" max="11" width="8.85546875" bestFit="1" customWidth="1"/>
    <col min="13" max="14" width="4.140625" bestFit="1" customWidth="1"/>
    <col min="16" max="16" width="8.5703125" bestFit="1" customWidth="1"/>
    <col min="17" max="17" width="19.5703125" customWidth="1"/>
    <col min="18" max="18" width="23.140625" customWidth="1"/>
  </cols>
  <sheetData>
    <row r="1" spans="1:18" x14ac:dyDescent="0.25">
      <c r="B1" s="8" t="s">
        <v>35</v>
      </c>
      <c r="C1" s="4"/>
      <c r="D1" s="5" t="s">
        <v>29</v>
      </c>
      <c r="E1" s="4"/>
      <c r="F1" s="6"/>
      <c r="G1" s="4"/>
      <c r="I1" t="s">
        <v>19</v>
      </c>
      <c r="Q1" t="s">
        <v>28</v>
      </c>
    </row>
    <row r="2" spans="1:18" x14ac:dyDescent="0.25">
      <c r="B2" s="8" t="s">
        <v>2</v>
      </c>
      <c r="C2" s="4" t="s">
        <v>3</v>
      </c>
      <c r="D2" s="5"/>
      <c r="E2" s="4" t="s">
        <v>37</v>
      </c>
      <c r="F2" s="6"/>
      <c r="G2" s="4" t="s">
        <v>29</v>
      </c>
    </row>
    <row r="3" spans="1:18" ht="30" x14ac:dyDescent="0.25">
      <c r="A3" s="1">
        <v>2025</v>
      </c>
      <c r="B3" s="9">
        <v>763.48</v>
      </c>
      <c r="C3" s="4">
        <v>1768</v>
      </c>
      <c r="D3" s="5">
        <f>C3*B3</f>
        <v>1349832.6400000001</v>
      </c>
      <c r="E3" s="4" t="s">
        <v>36</v>
      </c>
      <c r="F3" s="6">
        <f>1/8</f>
        <v>0.125</v>
      </c>
      <c r="G3" s="5">
        <f>C3*B3*F3</f>
        <v>168729.08000000002</v>
      </c>
      <c r="I3" s="1" t="s">
        <v>14</v>
      </c>
      <c r="J3" s="1" t="s">
        <v>15</v>
      </c>
      <c r="K3" s="1" t="s">
        <v>25</v>
      </c>
      <c r="L3" s="1" t="s">
        <v>17</v>
      </c>
      <c r="M3" s="1">
        <v>278</v>
      </c>
      <c r="N3" s="1">
        <v>265</v>
      </c>
      <c r="O3" s="1"/>
      <c r="P3" s="1" t="s">
        <v>18</v>
      </c>
      <c r="Q3" s="1" t="s">
        <v>0</v>
      </c>
      <c r="R3" s="1" t="s">
        <v>1</v>
      </c>
    </row>
    <row r="4" spans="1:18" ht="30" x14ac:dyDescent="0.25">
      <c r="A4" s="1">
        <v>2025</v>
      </c>
      <c r="B4" s="9">
        <v>763.48</v>
      </c>
      <c r="C4" s="4">
        <v>231</v>
      </c>
      <c r="D4" s="5">
        <f>C4*B4</f>
        <v>176363.88</v>
      </c>
      <c r="E4" s="4" t="s">
        <v>33</v>
      </c>
      <c r="F4" s="6">
        <f>1/8</f>
        <v>0.125</v>
      </c>
      <c r="G4" s="5">
        <f>C4*B4*F4</f>
        <v>22045.485000000001</v>
      </c>
      <c r="I4" s="1" t="s">
        <v>14</v>
      </c>
      <c r="J4" s="1" t="s">
        <v>15</v>
      </c>
      <c r="K4" s="1" t="s">
        <v>24</v>
      </c>
      <c r="L4" s="1" t="s">
        <v>17</v>
      </c>
      <c r="M4" s="1">
        <v>385</v>
      </c>
      <c r="N4" s="1">
        <v>116</v>
      </c>
      <c r="O4" s="1"/>
      <c r="P4" s="1" t="s">
        <v>18</v>
      </c>
      <c r="Q4" s="1" t="s">
        <v>4</v>
      </c>
      <c r="R4" s="1" t="s">
        <v>5</v>
      </c>
    </row>
    <row r="5" spans="1:18" ht="30" x14ac:dyDescent="0.25">
      <c r="A5" s="1">
        <v>2025</v>
      </c>
      <c r="B5" s="9">
        <v>763.48</v>
      </c>
      <c r="C5" s="4">
        <v>270</v>
      </c>
      <c r="D5" s="5">
        <f>C5*B5</f>
        <v>206139.6</v>
      </c>
      <c r="E5" s="7" t="s">
        <v>32</v>
      </c>
      <c r="F5" s="6">
        <f>3/40</f>
        <v>7.4999999999999997E-2</v>
      </c>
      <c r="G5" s="5">
        <f>C5*B5*F5</f>
        <v>15460.47</v>
      </c>
      <c r="I5" s="1" t="s">
        <v>14</v>
      </c>
      <c r="J5" s="1" t="s">
        <v>15</v>
      </c>
      <c r="K5" s="1" t="s">
        <v>24</v>
      </c>
      <c r="L5" s="1" t="s">
        <v>17</v>
      </c>
      <c r="M5" s="1">
        <v>385</v>
      </c>
      <c r="N5" s="1">
        <v>22</v>
      </c>
      <c r="O5" s="1"/>
      <c r="P5" s="1" t="s">
        <v>18</v>
      </c>
      <c r="Q5" s="1" t="s">
        <v>4</v>
      </c>
      <c r="R5" s="1" t="s">
        <v>5</v>
      </c>
    </row>
    <row r="6" spans="1:18" ht="30" x14ac:dyDescent="0.25">
      <c r="A6" s="1">
        <v>2025</v>
      </c>
      <c r="B6" s="9">
        <v>152.69999999999999</v>
      </c>
      <c r="C6" s="4">
        <v>410</v>
      </c>
      <c r="D6" s="5">
        <f>C6*B6</f>
        <v>62606.999999999993</v>
      </c>
      <c r="E6" s="4">
        <v>1</v>
      </c>
      <c r="F6" s="6">
        <v>1</v>
      </c>
      <c r="G6" s="5">
        <f>C6*B6*F6</f>
        <v>62606.999999999993</v>
      </c>
      <c r="I6" s="1" t="s">
        <v>14</v>
      </c>
      <c r="J6" s="1" t="s">
        <v>15</v>
      </c>
      <c r="K6" s="1" t="s">
        <v>16</v>
      </c>
      <c r="L6" s="1" t="s">
        <v>17</v>
      </c>
      <c r="M6" s="1">
        <v>244</v>
      </c>
      <c r="N6" s="1">
        <v>21</v>
      </c>
      <c r="O6" s="1"/>
      <c r="P6" s="1" t="s">
        <v>18</v>
      </c>
      <c r="Q6" s="1" t="s">
        <v>6</v>
      </c>
      <c r="R6" s="1" t="s">
        <v>7</v>
      </c>
    </row>
    <row r="7" spans="1:18" ht="30" x14ac:dyDescent="0.25">
      <c r="A7" s="1">
        <v>2025</v>
      </c>
      <c r="B7" s="9">
        <v>381.74</v>
      </c>
      <c r="C7" s="4">
        <v>74</v>
      </c>
      <c r="D7" s="5">
        <f>C7*B7</f>
        <v>28248.760000000002</v>
      </c>
      <c r="E7" s="4" t="s">
        <v>34</v>
      </c>
      <c r="F7" s="6">
        <f>7/40</f>
        <v>0.17499999999999999</v>
      </c>
      <c r="G7" s="5">
        <f>C7*B7*F7</f>
        <v>4943.5330000000004</v>
      </c>
      <c r="I7" s="1" t="s">
        <v>14</v>
      </c>
      <c r="J7" s="1" t="s">
        <v>15</v>
      </c>
      <c r="K7" s="1" t="s">
        <v>27</v>
      </c>
      <c r="L7" s="1" t="s">
        <v>17</v>
      </c>
      <c r="M7" s="1">
        <v>564</v>
      </c>
      <c r="N7" s="1">
        <v>97</v>
      </c>
      <c r="O7" s="1"/>
      <c r="P7" s="1" t="s">
        <v>18</v>
      </c>
      <c r="Q7" s="1" t="s">
        <v>8</v>
      </c>
      <c r="R7" s="1" t="s">
        <v>9</v>
      </c>
    </row>
    <row r="8" spans="1:18" ht="75" x14ac:dyDescent="0.25">
      <c r="A8" s="1">
        <v>2025</v>
      </c>
      <c r="B8" s="10">
        <v>1145.22</v>
      </c>
      <c r="C8" s="4">
        <v>295</v>
      </c>
      <c r="D8" s="5">
        <f>C8*B8</f>
        <v>337839.9</v>
      </c>
      <c r="E8" s="4" t="s">
        <v>38</v>
      </c>
      <c r="F8" s="6">
        <f>5/50</f>
        <v>0.1</v>
      </c>
      <c r="G8" s="5">
        <f>C8*B8*F8</f>
        <v>33783.990000000005</v>
      </c>
      <c r="I8" s="1" t="s">
        <v>14</v>
      </c>
      <c r="J8" s="1" t="s">
        <v>15</v>
      </c>
      <c r="K8" s="1" t="s">
        <v>20</v>
      </c>
      <c r="L8" s="1" t="s">
        <v>21</v>
      </c>
      <c r="M8" s="1">
        <v>564</v>
      </c>
      <c r="N8" s="1">
        <v>35</v>
      </c>
      <c r="O8" s="1" t="s">
        <v>22</v>
      </c>
      <c r="P8" s="1" t="s">
        <v>23</v>
      </c>
      <c r="Q8" s="1" t="s">
        <v>8</v>
      </c>
      <c r="R8" s="1" t="s">
        <v>12</v>
      </c>
    </row>
    <row r="9" spans="1:18" ht="30" x14ac:dyDescent="0.25">
      <c r="A9" s="1">
        <v>2025</v>
      </c>
      <c r="B9" s="10">
        <v>2035.95</v>
      </c>
      <c r="C9" s="4">
        <v>60</v>
      </c>
      <c r="D9" s="5">
        <f>C9*B9</f>
        <v>122157</v>
      </c>
      <c r="E9" s="4">
        <v>1</v>
      </c>
      <c r="F9" s="6">
        <v>1</v>
      </c>
      <c r="G9" s="5">
        <f>C9*B9*F9</f>
        <v>122157</v>
      </c>
      <c r="I9" s="1" t="s">
        <v>14</v>
      </c>
      <c r="J9" s="1" t="s">
        <v>15</v>
      </c>
      <c r="K9" s="1" t="s">
        <v>25</v>
      </c>
      <c r="L9" s="1" t="s">
        <v>17</v>
      </c>
      <c r="M9" s="1">
        <v>390</v>
      </c>
      <c r="N9" s="1">
        <v>89</v>
      </c>
      <c r="O9" s="1"/>
      <c r="P9" s="1" t="s">
        <v>26</v>
      </c>
      <c r="Q9" s="1" t="s">
        <v>30</v>
      </c>
      <c r="R9" s="1" t="s">
        <v>31</v>
      </c>
    </row>
    <row r="10" spans="1:18" x14ac:dyDescent="0.25">
      <c r="C10" s="4"/>
      <c r="D10" s="5">
        <f>C10*B10</f>
        <v>0</v>
      </c>
      <c r="E10" s="4"/>
      <c r="F10" s="6"/>
      <c r="G10" s="5">
        <f>C10*B10*F10</f>
        <v>0</v>
      </c>
    </row>
    <row r="11" spans="1:18" ht="30" x14ac:dyDescent="0.25">
      <c r="A11" s="1">
        <v>2025</v>
      </c>
      <c r="B11" s="10">
        <v>1017.97</v>
      </c>
      <c r="C11" s="4">
        <v>1200</v>
      </c>
      <c r="D11" s="5">
        <f>C11*B11</f>
        <v>1221564</v>
      </c>
      <c r="E11" s="4">
        <v>1</v>
      </c>
      <c r="F11" s="6">
        <v>1</v>
      </c>
      <c r="G11" s="5">
        <f>C11*B11*F11</f>
        <v>1221564</v>
      </c>
      <c r="Q11" s="1" t="s">
        <v>10</v>
      </c>
      <c r="R11" s="1" t="s">
        <v>13</v>
      </c>
    </row>
    <row r="12" spans="1:18" x14ac:dyDescent="0.25">
      <c r="C12" s="4"/>
      <c r="D12" s="5"/>
      <c r="E12" s="4"/>
      <c r="F12" s="6"/>
      <c r="G12" s="5">
        <f>C12*B12*F12</f>
        <v>0</v>
      </c>
    </row>
    <row r="13" spans="1:18" x14ac:dyDescent="0.25">
      <c r="A13" s="1">
        <v>2025</v>
      </c>
      <c r="B13" s="9">
        <v>636.23</v>
      </c>
      <c r="C13" s="4">
        <v>4499</v>
      </c>
      <c r="D13" s="5">
        <f>C13*B13</f>
        <v>2862398.77</v>
      </c>
      <c r="E13" s="4">
        <v>1</v>
      </c>
      <c r="F13" s="6">
        <v>1</v>
      </c>
      <c r="G13" s="5">
        <f>C13*B13*F13</f>
        <v>2862398.77</v>
      </c>
      <c r="Q13" s="1" t="s">
        <v>10</v>
      </c>
      <c r="R13" s="1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2025-01-15T08:05:06Z</dcterms:modified>
</cp:coreProperties>
</file>