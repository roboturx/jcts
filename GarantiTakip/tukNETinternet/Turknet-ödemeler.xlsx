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\jcts\GarantiTakip\tukNETinternet\"/>
    </mc:Choice>
  </mc:AlternateContent>
  <xr:revisionPtr revIDLastSave="0" documentId="13_ncr:1_{8E449531-7DBF-4228-A042-58BD18A899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1" l="1"/>
  <c r="K14" i="1"/>
  <c r="K13" i="1"/>
  <c r="K31" i="1"/>
  <c r="K25" i="1"/>
  <c r="K12" i="1"/>
  <c r="K18" i="1"/>
  <c r="F21" i="1"/>
  <c r="F5" i="1"/>
  <c r="F4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</calcChain>
</file>

<file path=xl/sharedStrings.xml><?xml version="1.0" encoding="utf-8"?>
<sst xmlns="http://schemas.openxmlformats.org/spreadsheetml/2006/main" count="54" uniqueCount="28">
  <si>
    <t>ödeme</t>
  </si>
  <si>
    <t>tutar</t>
  </si>
  <si>
    <t>bakiye</t>
  </si>
  <si>
    <t>karttan ödeme</t>
  </si>
  <si>
    <t>karttan iade</t>
  </si>
  <si>
    <t>17 ocak  -17 şubat  ücreti</t>
  </si>
  <si>
    <t>13 aylık ödeme kart ile 6 taksit yapıldı</t>
  </si>
  <si>
    <t xml:space="preserve">649,78 TL * 6 taksit  = Toplam 3898,68 TL /13 = 299,99 </t>
  </si>
  <si>
    <t>17 şubat - 2024 -  2025 ücreti</t>
  </si>
  <si>
    <t>ay</t>
  </si>
  <si>
    <t>b.fiyat</t>
  </si>
  <si>
    <t>17 şubat - 2025 -  2026 ücreti</t>
  </si>
  <si>
    <t>ilk ayın karttan ödemesi 6 taksitle iade edildi</t>
  </si>
  <si>
    <t>taksit</t>
  </si>
  <si>
    <t>17 ocak 2024 - 17 şubat 2024 - 1 aylık Dönem</t>
  </si>
  <si>
    <t>ilk ayın ödemesi 299,99 TL olarak ödendi</t>
  </si>
  <si>
    <t xml:space="preserve">12 aylık abonelik ücreti </t>
  </si>
  <si>
    <t>kart ödemesi ile</t>
  </si>
  <si>
    <t xml:space="preserve"> TL olarak ödendi</t>
  </si>
  <si>
    <t>17 şubat 2025 - 17 şubat 2026 - 12 aylık Dönem</t>
  </si>
  <si>
    <t>Toplam 13 lık ücret</t>
  </si>
  <si>
    <t>1 aylık geçmiş dönem borcu eklenerek</t>
  </si>
  <si>
    <t xml:space="preserve">17 şubat dönem başlangıcı kabul edilirse </t>
  </si>
  <si>
    <t xml:space="preserve"> 299,99 TL fazladan ödeme yapıldı</t>
  </si>
  <si>
    <t xml:space="preserve"> Murat BALCI</t>
  </si>
  <si>
    <t xml:space="preserve">13 aylık abonelik ücreti </t>
  </si>
  <si>
    <r>
      <t xml:space="preserve">17 ocak 2024 - 17 şubat 2025 - </t>
    </r>
    <r>
      <rPr>
        <b/>
        <sz val="12"/>
        <color theme="1"/>
        <rFont val="Calibri"/>
        <family val="2"/>
        <scheme val="minor"/>
      </rPr>
      <t xml:space="preserve">13 aylık </t>
    </r>
    <r>
      <rPr>
        <sz val="12"/>
        <color theme="1"/>
        <rFont val="Calibri"/>
        <family val="2"/>
        <scheme val="minor"/>
      </rPr>
      <t>Dönem</t>
    </r>
  </si>
  <si>
    <t xml:space="preserve"> TL olmasına rağmen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</si>
</sst>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17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4" borderId="0" xfId="0" applyFont="1" applyFill="1" applyBorder="1"/>
    <xf numFmtId="0" fontId="2" fillId="0" borderId="7" xfId="0" applyFont="1" applyBorder="1"/>
    <xf numFmtId="0" fontId="2" fillId="0" borderId="0" xfId="0" applyFont="1" applyBorder="1"/>
    <xf numFmtId="0" fontId="1" fillId="3" borderId="5" xfId="0" applyFont="1" applyFill="1" applyBorder="1"/>
    <xf numFmtId="0" fontId="5" fillId="0" borderId="7" xfId="0" applyFont="1" applyBorder="1"/>
    <xf numFmtId="0" fontId="5" fillId="0" borderId="0" xfId="0" applyFont="1" applyBorder="1" applyAlignment="1">
      <alignment horizontal="right"/>
    </xf>
    <xf numFmtId="0" fontId="5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A13" zoomScale="160" zoomScaleNormal="160" workbookViewId="0">
      <selection activeCell="C8" sqref="C8"/>
    </sheetView>
  </sheetViews>
  <sheetFormatPr defaultRowHeight="15" x14ac:dyDescent="0.25"/>
  <cols>
    <col min="1" max="1" width="10.140625" style="1" bestFit="1" customWidth="1"/>
    <col min="2" max="2" width="25.5703125" customWidth="1"/>
    <col min="3" max="3" width="4.42578125" style="3" customWidth="1"/>
    <col min="4" max="4" width="9" style="4" customWidth="1"/>
    <col min="5" max="7" width="9.140625" style="4"/>
    <col min="8" max="8" width="2.42578125" customWidth="1"/>
    <col min="13" max="13" width="10.7109375" customWidth="1"/>
  </cols>
  <sheetData>
    <row r="1" spans="1:13" x14ac:dyDescent="0.25">
      <c r="B1">
        <v>5053202240</v>
      </c>
      <c r="C1" s="3" t="s">
        <v>24</v>
      </c>
    </row>
    <row r="3" spans="1:13" ht="15.75" thickBot="1" x14ac:dyDescent="0.3">
      <c r="C3" s="3" t="s">
        <v>9</v>
      </c>
      <c r="D3" s="4" t="s">
        <v>10</v>
      </c>
      <c r="E3" s="4" t="s">
        <v>0</v>
      </c>
      <c r="F3" s="4" t="s">
        <v>1</v>
      </c>
      <c r="G3" s="4" t="s">
        <v>2</v>
      </c>
    </row>
    <row r="4" spans="1:13" ht="15.75" x14ac:dyDescent="0.25">
      <c r="A4" s="1">
        <v>45308</v>
      </c>
      <c r="B4" s="2" t="s">
        <v>5</v>
      </c>
      <c r="C4" s="3">
        <v>1</v>
      </c>
      <c r="D4" s="4">
        <v>299.99</v>
      </c>
      <c r="F4" s="4">
        <f>C4*D4</f>
        <v>299.99</v>
      </c>
      <c r="G4" s="4">
        <f>F4-E4</f>
        <v>299.99</v>
      </c>
      <c r="I4" s="14" t="s">
        <v>14</v>
      </c>
      <c r="J4" s="15"/>
      <c r="K4" s="15"/>
      <c r="L4" s="15"/>
      <c r="M4" s="16"/>
    </row>
    <row r="5" spans="1:13" x14ac:dyDescent="0.25">
      <c r="A5" s="1">
        <v>45320</v>
      </c>
      <c r="B5" s="2" t="s">
        <v>8</v>
      </c>
      <c r="C5" s="3">
        <v>12</v>
      </c>
      <c r="D5" s="4">
        <v>299.99</v>
      </c>
      <c r="F5" s="4">
        <f>C5*D5</f>
        <v>3599.88</v>
      </c>
      <c r="G5" s="4">
        <f t="shared" ref="G5:G31" si="0">G4+F5-E5</f>
        <v>3899.87</v>
      </c>
      <c r="I5" s="17" t="s">
        <v>15</v>
      </c>
      <c r="J5" s="18"/>
      <c r="K5" s="18"/>
      <c r="L5" s="18"/>
      <c r="M5" s="19"/>
    </row>
    <row r="6" spans="1:13" ht="15.75" thickBot="1" x14ac:dyDescent="0.3">
      <c r="A6" s="1">
        <v>45320</v>
      </c>
      <c r="B6" t="s">
        <v>3</v>
      </c>
      <c r="E6" s="4">
        <v>299.99</v>
      </c>
      <c r="G6" s="4">
        <f t="shared" si="0"/>
        <v>3599.88</v>
      </c>
      <c r="I6" s="5" t="s">
        <v>12</v>
      </c>
      <c r="J6" s="6"/>
      <c r="K6" s="6"/>
      <c r="L6" s="6"/>
      <c r="M6" s="7"/>
    </row>
    <row r="7" spans="1:13" ht="15.75" thickBot="1" x14ac:dyDescent="0.3">
      <c r="A7" s="1">
        <v>45327</v>
      </c>
      <c r="B7" t="s">
        <v>4</v>
      </c>
      <c r="F7" s="4">
        <v>49.98</v>
      </c>
      <c r="G7" s="4">
        <f t="shared" si="0"/>
        <v>3649.86</v>
      </c>
    </row>
    <row r="8" spans="1:13" ht="15.75" x14ac:dyDescent="0.25">
      <c r="A8" s="1">
        <v>45327</v>
      </c>
      <c r="B8" t="s">
        <v>3</v>
      </c>
      <c r="E8" s="4">
        <v>649.98</v>
      </c>
      <c r="G8" s="4">
        <f t="shared" si="0"/>
        <v>2999.88</v>
      </c>
      <c r="I8" s="14" t="s">
        <v>26</v>
      </c>
      <c r="J8" s="15"/>
      <c r="K8" s="15"/>
      <c r="L8" s="15"/>
      <c r="M8" s="16"/>
    </row>
    <row r="9" spans="1:13" x14ac:dyDescent="0.25">
      <c r="B9" t="s">
        <v>7</v>
      </c>
      <c r="G9" s="4">
        <f t="shared" si="0"/>
        <v>2999.88</v>
      </c>
      <c r="I9" s="17"/>
      <c r="J9" s="18"/>
      <c r="K9" s="18"/>
      <c r="L9" s="18"/>
      <c r="M9" s="19"/>
    </row>
    <row r="10" spans="1:13" x14ac:dyDescent="0.25">
      <c r="B10" t="s">
        <v>6</v>
      </c>
      <c r="G10" s="4">
        <f t="shared" si="0"/>
        <v>2999.88</v>
      </c>
      <c r="I10" s="17" t="s">
        <v>25</v>
      </c>
      <c r="J10" s="18"/>
      <c r="K10" s="18"/>
      <c r="L10" s="18"/>
      <c r="M10" s="19"/>
    </row>
    <row r="11" spans="1:13" x14ac:dyDescent="0.25">
      <c r="A11" s="1">
        <v>45356</v>
      </c>
      <c r="B11" t="s">
        <v>4</v>
      </c>
      <c r="F11" s="4">
        <v>49.98</v>
      </c>
      <c r="G11" s="4">
        <f t="shared" si="0"/>
        <v>3049.86</v>
      </c>
      <c r="I11" s="17" t="s">
        <v>9</v>
      </c>
      <c r="J11" s="18" t="s">
        <v>1</v>
      </c>
      <c r="K11" s="18"/>
      <c r="L11" s="18"/>
      <c r="M11" s="19"/>
    </row>
    <row r="12" spans="1:13" x14ac:dyDescent="0.25">
      <c r="A12" s="1">
        <v>45356</v>
      </c>
      <c r="B12" t="s">
        <v>3</v>
      </c>
      <c r="E12" s="4">
        <v>649.98</v>
      </c>
      <c r="G12" s="4">
        <f t="shared" si="0"/>
        <v>2399.88</v>
      </c>
      <c r="I12" s="17">
        <v>12</v>
      </c>
      <c r="J12" s="18">
        <v>299.99</v>
      </c>
      <c r="K12" s="18">
        <f>I12*J12</f>
        <v>3599.88</v>
      </c>
      <c r="L12" s="18"/>
      <c r="M12" s="19"/>
    </row>
    <row r="13" spans="1:13" x14ac:dyDescent="0.25">
      <c r="A13" s="1">
        <v>45387</v>
      </c>
      <c r="B13" t="s">
        <v>4</v>
      </c>
      <c r="F13" s="4">
        <v>49.98</v>
      </c>
      <c r="G13" s="4">
        <f t="shared" si="0"/>
        <v>2449.86</v>
      </c>
      <c r="I13" s="17">
        <v>1</v>
      </c>
      <c r="J13" s="18">
        <v>299.99</v>
      </c>
      <c r="K13" s="18">
        <f>I13*J13</f>
        <v>299.99</v>
      </c>
      <c r="L13" s="18"/>
      <c r="M13" s="19"/>
    </row>
    <row r="14" spans="1:13" ht="15.75" x14ac:dyDescent="0.25">
      <c r="A14" s="1">
        <v>45387</v>
      </c>
      <c r="B14" t="s">
        <v>3</v>
      </c>
      <c r="E14" s="4">
        <v>649.98</v>
      </c>
      <c r="G14" s="4">
        <f t="shared" si="0"/>
        <v>1799.88</v>
      </c>
      <c r="I14" s="24"/>
      <c r="J14" s="25" t="s">
        <v>20</v>
      </c>
      <c r="K14" s="26">
        <f>K13+K12</f>
        <v>3899.87</v>
      </c>
      <c r="L14" s="18"/>
      <c r="M14" s="19"/>
    </row>
    <row r="15" spans="1:13" x14ac:dyDescent="0.25">
      <c r="A15" s="1">
        <v>45417</v>
      </c>
      <c r="B15" t="s">
        <v>4</v>
      </c>
      <c r="F15" s="4">
        <v>49.99</v>
      </c>
      <c r="G15" s="4">
        <f t="shared" si="0"/>
        <v>1849.8700000000001</v>
      </c>
      <c r="I15" s="17"/>
      <c r="J15" s="18"/>
      <c r="K15" s="18"/>
      <c r="L15" s="18"/>
      <c r="M15" s="19"/>
    </row>
    <row r="16" spans="1:13" x14ac:dyDescent="0.25">
      <c r="A16" s="1">
        <v>45417</v>
      </c>
      <c r="B16" t="s">
        <v>3</v>
      </c>
      <c r="E16" s="4">
        <v>649.98</v>
      </c>
      <c r="G16" s="4">
        <f t="shared" si="0"/>
        <v>1199.8900000000001</v>
      </c>
      <c r="I16" s="17" t="s">
        <v>17</v>
      </c>
      <c r="J16" s="18"/>
      <c r="K16" s="18"/>
      <c r="L16" s="18"/>
      <c r="M16" s="19"/>
    </row>
    <row r="17" spans="1:13" x14ac:dyDescent="0.25">
      <c r="A17" s="1">
        <v>45448</v>
      </c>
      <c r="B17" t="s">
        <v>4</v>
      </c>
      <c r="F17" s="4">
        <v>49.99</v>
      </c>
      <c r="G17" s="4">
        <f t="shared" si="0"/>
        <v>1249.8800000000001</v>
      </c>
      <c r="I17" s="17" t="s">
        <v>13</v>
      </c>
      <c r="J17" s="18" t="s">
        <v>1</v>
      </c>
      <c r="K17" s="18"/>
      <c r="L17" s="18"/>
      <c r="M17" s="19"/>
    </row>
    <row r="18" spans="1:13" ht="15.75" thickBot="1" x14ac:dyDescent="0.3">
      <c r="A18" s="1">
        <v>45448</v>
      </c>
      <c r="B18" t="s">
        <v>3</v>
      </c>
      <c r="E18" s="4">
        <v>649.98</v>
      </c>
      <c r="G18" s="4">
        <f t="shared" si="0"/>
        <v>599.90000000000009</v>
      </c>
      <c r="I18" s="5">
        <v>6</v>
      </c>
      <c r="J18" s="6">
        <v>649.98</v>
      </c>
      <c r="K18" s="23">
        <f>I18*J18</f>
        <v>3899.88</v>
      </c>
      <c r="L18" s="6" t="s">
        <v>18</v>
      </c>
      <c r="M18" s="7"/>
    </row>
    <row r="19" spans="1:13" x14ac:dyDescent="0.25">
      <c r="A19" s="1">
        <v>45478</v>
      </c>
      <c r="B19" t="s">
        <v>4</v>
      </c>
      <c r="F19" s="4">
        <v>49.99</v>
      </c>
      <c r="G19" s="4">
        <f t="shared" si="0"/>
        <v>649.8900000000001</v>
      </c>
    </row>
    <row r="20" spans="1:13" ht="15.75" thickBot="1" x14ac:dyDescent="0.3">
      <c r="A20" s="1">
        <v>45478</v>
      </c>
      <c r="B20" t="s">
        <v>3</v>
      </c>
      <c r="E20" s="4">
        <v>649.98</v>
      </c>
      <c r="G20" s="4">
        <f t="shared" si="0"/>
        <v>-8.9999999999918145E-2</v>
      </c>
    </row>
    <row r="21" spans="1:13" ht="15.75" x14ac:dyDescent="0.25">
      <c r="A21" s="1">
        <v>45684</v>
      </c>
      <c r="B21" s="2" t="s">
        <v>11</v>
      </c>
      <c r="C21" s="3">
        <v>12</v>
      </c>
      <c r="D21" s="4">
        <v>469.9</v>
      </c>
      <c r="F21" s="4">
        <f>C21*D21</f>
        <v>5638.7999999999993</v>
      </c>
      <c r="G21" s="4">
        <f t="shared" si="0"/>
        <v>5638.7099999999991</v>
      </c>
      <c r="I21" s="14" t="s">
        <v>19</v>
      </c>
      <c r="J21" s="15"/>
      <c r="K21" s="15"/>
      <c r="L21" s="15"/>
      <c r="M21" s="16"/>
    </row>
    <row r="22" spans="1:13" x14ac:dyDescent="0.25">
      <c r="B22" s="2"/>
      <c r="G22" s="4">
        <f t="shared" si="0"/>
        <v>5638.7099999999991</v>
      </c>
      <c r="I22" s="17"/>
      <c r="J22" s="18"/>
      <c r="K22" s="18"/>
      <c r="L22" s="18"/>
      <c r="M22" s="19"/>
    </row>
    <row r="23" spans="1:13" x14ac:dyDescent="0.25">
      <c r="A23" s="1">
        <v>45705</v>
      </c>
      <c r="B23" t="s">
        <v>3</v>
      </c>
      <c r="E23" s="4">
        <v>989.78300000000002</v>
      </c>
      <c r="G23" s="4">
        <f t="shared" si="0"/>
        <v>4648.9269999999988</v>
      </c>
      <c r="I23" s="17" t="s">
        <v>16</v>
      </c>
      <c r="J23" s="18"/>
      <c r="K23" s="18"/>
      <c r="L23" s="18"/>
      <c r="M23" s="19"/>
    </row>
    <row r="24" spans="1:13" x14ac:dyDescent="0.25">
      <c r="A24" s="1">
        <v>45733</v>
      </c>
      <c r="B24" t="s">
        <v>3</v>
      </c>
      <c r="E24" s="4">
        <v>989.78300000000002</v>
      </c>
      <c r="G24" s="4">
        <f t="shared" si="0"/>
        <v>3659.1439999999989</v>
      </c>
      <c r="I24" s="17" t="s">
        <v>9</v>
      </c>
      <c r="J24" s="18" t="s">
        <v>1</v>
      </c>
      <c r="K24" s="18"/>
      <c r="L24" s="18"/>
      <c r="M24" s="19"/>
    </row>
    <row r="25" spans="1:13" x14ac:dyDescent="0.25">
      <c r="A25" s="1">
        <v>45764</v>
      </c>
      <c r="B25" t="s">
        <v>3</v>
      </c>
      <c r="E25" s="4">
        <v>989.78300000000002</v>
      </c>
      <c r="G25" s="4">
        <f t="shared" si="0"/>
        <v>2669.360999999999</v>
      </c>
      <c r="I25" s="17">
        <v>12</v>
      </c>
      <c r="J25" s="18">
        <v>469.9</v>
      </c>
      <c r="K25" s="20">
        <f>I25*J25</f>
        <v>5638.7999999999993</v>
      </c>
      <c r="L25" s="18" t="s">
        <v>27</v>
      </c>
      <c r="M25" s="19"/>
    </row>
    <row r="26" spans="1:13" x14ac:dyDescent="0.25">
      <c r="A26" s="1">
        <v>45794</v>
      </c>
      <c r="B26" t="s">
        <v>3</v>
      </c>
      <c r="E26" s="4">
        <v>989.78300000000002</v>
      </c>
      <c r="G26" s="4">
        <f t="shared" si="0"/>
        <v>1679.5779999999991</v>
      </c>
      <c r="I26" s="21" t="s">
        <v>21</v>
      </c>
      <c r="J26" s="22"/>
      <c r="K26" s="22"/>
      <c r="L26" s="22"/>
      <c r="M26" s="19"/>
    </row>
    <row r="27" spans="1:13" x14ac:dyDescent="0.25">
      <c r="A27" s="1">
        <v>45825</v>
      </c>
      <c r="B27" t="s">
        <v>3</v>
      </c>
      <c r="E27" s="4">
        <v>989.78300000000002</v>
      </c>
      <c r="G27" s="4">
        <f t="shared" si="0"/>
        <v>689.79499999999905</v>
      </c>
      <c r="I27" s="21">
        <v>1</v>
      </c>
      <c r="J27" s="22">
        <v>299.89999999999998</v>
      </c>
      <c r="K27" s="22">
        <f>I27*J27</f>
        <v>299.89999999999998</v>
      </c>
      <c r="L27" s="22"/>
      <c r="M27" s="19"/>
    </row>
    <row r="28" spans="1:13" x14ac:dyDescent="0.25">
      <c r="A28" s="1">
        <v>45855</v>
      </c>
      <c r="B28" t="s">
        <v>3</v>
      </c>
      <c r="E28" s="4">
        <v>989.78300000000002</v>
      </c>
      <c r="G28" s="4">
        <f t="shared" si="0"/>
        <v>-299.98800000000097</v>
      </c>
      <c r="I28" s="17"/>
      <c r="J28" s="18"/>
      <c r="K28" s="18"/>
      <c r="L28" s="18"/>
      <c r="M28" s="19"/>
    </row>
    <row r="29" spans="1:13" ht="15.75" thickBot="1" x14ac:dyDescent="0.3">
      <c r="G29" s="4">
        <f t="shared" si="0"/>
        <v>-299.98800000000097</v>
      </c>
      <c r="I29" s="17" t="s">
        <v>17</v>
      </c>
      <c r="J29" s="18"/>
      <c r="K29" s="18"/>
      <c r="L29" s="18"/>
      <c r="M29" s="19"/>
    </row>
    <row r="30" spans="1:13" ht="15.75" x14ac:dyDescent="0.25">
      <c r="B30" s="8" t="s">
        <v>22</v>
      </c>
      <c r="C30" s="9"/>
      <c r="D30" s="9"/>
      <c r="E30" s="9"/>
      <c r="F30" s="10"/>
      <c r="G30" s="4">
        <f t="shared" si="0"/>
        <v>-299.98800000000097</v>
      </c>
      <c r="I30" s="17" t="s">
        <v>13</v>
      </c>
      <c r="J30" s="18" t="s">
        <v>1</v>
      </c>
      <c r="K30" s="18"/>
      <c r="L30" s="18"/>
      <c r="M30" s="19"/>
    </row>
    <row r="31" spans="1:13" ht="16.5" thickBot="1" x14ac:dyDescent="0.3">
      <c r="B31" s="11" t="s">
        <v>23</v>
      </c>
      <c r="C31" s="12"/>
      <c r="D31" s="12"/>
      <c r="E31" s="12"/>
      <c r="F31" s="13"/>
      <c r="G31" s="4">
        <f t="shared" si="0"/>
        <v>-299.98800000000097</v>
      </c>
      <c r="I31" s="5">
        <v>6</v>
      </c>
      <c r="J31" s="6">
        <v>989.78</v>
      </c>
      <c r="K31" s="23">
        <f>I31*J31</f>
        <v>5938.68</v>
      </c>
      <c r="L31" s="6" t="s">
        <v>18</v>
      </c>
      <c r="M31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2025-01-27T17:32:17Z</dcterms:modified>
</cp:coreProperties>
</file>